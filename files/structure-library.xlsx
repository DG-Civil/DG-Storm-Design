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it.ghebreyesus\Desktop\Temp\temp\DR-Plans Searchable PDF\Python_codes\WEb-app\"/>
    </mc:Choice>
  </mc:AlternateContent>
  <xr:revisionPtr revIDLastSave="0" documentId="13_ncr:1_{12D114AD-0782-491B-BD6B-BC6FD66B46FD}" xr6:coauthVersionLast="47" xr6:coauthVersionMax="47" xr10:uidLastSave="{00000000-0000-0000-0000-000000000000}"/>
  <bookViews>
    <workbookView xWindow="-120" yWindow="-120" windowWidth="29040" windowHeight="15720" activeTab="2" xr2:uid="{B5243F61-0A5B-4115-82DA-6C5C27E6149E}"/>
  </bookViews>
  <sheets>
    <sheet name="TxDOT" sheetId="1" r:id="rId1"/>
    <sheet name="Fort Worth " sheetId="2" r:id="rId2"/>
    <sheet name="Culvert bo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2" i="2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</calcChain>
</file>

<file path=xl/sharedStrings.xml><?xml version="1.0" encoding="utf-8"?>
<sst xmlns="http://schemas.openxmlformats.org/spreadsheetml/2006/main" count="471" uniqueCount="185">
  <si>
    <t>Structure_Code</t>
  </si>
  <si>
    <t>Nominal_Size_FT</t>
  </si>
  <si>
    <t>Wall_Thickness_IN</t>
  </si>
  <si>
    <t>Top_Thickness_IN</t>
  </si>
  <si>
    <t>Bottom_Thickness_IN</t>
  </si>
  <si>
    <t>Headloss_K_Value</t>
  </si>
  <si>
    <t>Structure_Type</t>
  </si>
  <si>
    <t>Specification_Source</t>
  </si>
  <si>
    <t>PAZD</t>
  </si>
  <si>
    <t>3x3</t>
  </si>
  <si>
    <t>Precast Area Zone Drain</t>
  </si>
  <si>
    <t>TxDOT CD-PAZD-20</t>
  </si>
  <si>
    <t>4x4</t>
  </si>
  <si>
    <t>5x5</t>
  </si>
  <si>
    <t>PCO</t>
  </si>
  <si>
    <t>3x5_No_Ext</t>
  </si>
  <si>
    <t>Precast Curb Inlet (Outside Roadway - 5ft Throat)</t>
  </si>
  <si>
    <t>TxDOT CD-PCO-23</t>
  </si>
  <si>
    <t>3x5_One_Ext</t>
  </si>
  <si>
    <t>Precast Curb Inlet (Outside Roadway - 10ft Throat)</t>
  </si>
  <si>
    <t>3x5_Two_Ext</t>
  </si>
  <si>
    <t>Precast Curb Inlet (Outside Roadway - 15ft Throat)</t>
  </si>
  <si>
    <t>4x10_No_Ext</t>
  </si>
  <si>
    <t>4x10_One_Ext</t>
  </si>
  <si>
    <t>PCU</t>
  </si>
  <si>
    <t>Precast Curb Inlet (Under Roadway - 5ft Throat)</t>
  </si>
  <si>
    <t>TxDOT CD-PCU-23</t>
  </si>
  <si>
    <t>Precast Curb Inlet (Under Roadway - 10ft Throat)</t>
  </si>
  <si>
    <t>Precast Curb Inlet (Under Roadway - 15ft Throat)</t>
  </si>
  <si>
    <t>5x10_No_Ext</t>
  </si>
  <si>
    <t>Precast Curb Inlet (Under Roadway - 10ft Heavy Duty)</t>
  </si>
  <si>
    <t>PRM</t>
  </si>
  <si>
    <t>4ft_Dia</t>
  </si>
  <si>
    <t>Precast Round Manhole (Straight Run)</t>
  </si>
  <si>
    <t>TxDOT CD-PRM-20</t>
  </si>
  <si>
    <t>5ft_Dia</t>
  </si>
  <si>
    <t>Precast Round Manhole (45 deg Deflection)</t>
  </si>
  <si>
    <t>6ft_Dia</t>
  </si>
  <si>
    <t>Precast Round Manhole (90 deg Deflection)</t>
  </si>
  <si>
    <t>7ft_Dia</t>
  </si>
  <si>
    <t>Precast Round Manhole (With Laterals)</t>
  </si>
  <si>
    <t>PJB</t>
  </si>
  <si>
    <t>Precast Junction Box</t>
  </si>
  <si>
    <t>TxDOT CD-PJB-20</t>
  </si>
  <si>
    <t>6x6</t>
  </si>
  <si>
    <t>7x7</t>
  </si>
  <si>
    <t>8x8</t>
  </si>
  <si>
    <t>9x9</t>
  </si>
  <si>
    <t>10x10</t>
  </si>
  <si>
    <t>JBOX_CIP</t>
  </si>
  <si>
    <t>Custom_CIP</t>
  </si>
  <si>
    <t>Cast-In-Place Junction Box (Variable)</t>
  </si>
  <si>
    <t>TxDOT Item 465</t>
  </si>
  <si>
    <t>I-AD-1_FTW</t>
  </si>
  <si>
    <t>3x3_Riser</t>
  </si>
  <si>
    <t>Area / Ditch Inlet Type 1 (No Base Box)</t>
  </si>
  <si>
    <t>TxDOT FTW I-AD-1</t>
  </si>
  <si>
    <t>I-AD-2_FTW</t>
  </si>
  <si>
    <t>3x3_on_Base</t>
  </si>
  <si>
    <t>Area / Ditch Inlet Type 2 (Variable Base)</t>
  </si>
  <si>
    <t>TxDOT FTW I-AD-2</t>
  </si>
  <si>
    <t>I-FG_FTW</t>
  </si>
  <si>
    <t>3x3_Base</t>
  </si>
  <si>
    <t>Free-Standing Grated Inlet</t>
  </si>
  <si>
    <t>TxDOT FTW I-FG</t>
  </si>
  <si>
    <t>I-FGR_FTW</t>
  </si>
  <si>
    <t>3x3_on_Box</t>
  </si>
  <si>
    <t>Grated Inlet Stacked on Box Culvert</t>
  </si>
  <si>
    <t>TxDOT FTW I-FGR</t>
  </si>
  <si>
    <t>I-CO_FTW</t>
  </si>
  <si>
    <t>5ft_Opening</t>
  </si>
  <si>
    <t>Curb Inlet Outside Pavement (5ft Box Base)</t>
  </si>
  <si>
    <t>TxDOT FTW I-CO</t>
  </si>
  <si>
    <t>10ft_Opening</t>
  </si>
  <si>
    <t>Curb Inlet Outside Pavement (10ft Box Base)</t>
  </si>
  <si>
    <t>15ft_Opening</t>
  </si>
  <si>
    <t>Curb Inlet Outside Pavement (15ft Box Base)</t>
  </si>
  <si>
    <t>20ft_Opening</t>
  </si>
  <si>
    <t>Curb Inlet Outside Pavement (20ft Box Base)</t>
  </si>
  <si>
    <t>I-CO-C_FTW</t>
  </si>
  <si>
    <t>5x10_Box_Base</t>
  </si>
  <si>
    <t>Curb Inlet Outside Pavement Over Box Culvert</t>
  </si>
  <si>
    <t>TxDOT FTW I-CO-C</t>
  </si>
  <si>
    <t>I-CU_FTW</t>
  </si>
  <si>
    <t>Curb Inlet Under Pavement (5ft Box Base)</t>
  </si>
  <si>
    <t>TxDOT FTW I-CU</t>
  </si>
  <si>
    <t>Curb Inlet Under Pavement (10ft Box Base)</t>
  </si>
  <si>
    <t>Curb Inlet Under Pavement (15ft Box Base)</t>
  </si>
  <si>
    <t>Curb Inlet Under Pavement (20ft Box Base)</t>
  </si>
  <si>
    <t>I-CU-C_FTW</t>
  </si>
  <si>
    <t>Curb Inlet Under Pavement Over Box Culvert</t>
  </si>
  <si>
    <t>TxDOT FTW I-CU-C</t>
  </si>
  <si>
    <t>I-COB_FTW</t>
  </si>
  <si>
    <t>Curb Inlet Open Back / Bypass (5ft Base)</t>
  </si>
  <si>
    <t>TxDOT FTW I-COB</t>
  </si>
  <si>
    <t>Curb Inlet Open Back / Bypass (10ft Base)</t>
  </si>
  <si>
    <t>Curb Inlet Open Back / Bypass (15ft Base)</t>
  </si>
  <si>
    <t>Curb Inlet Open Back / Bypass (20ft Base)</t>
  </si>
  <si>
    <t>I-COB-C_FTW</t>
  </si>
  <si>
    <t>Curb Inlet Open Back Over Box Culvert</t>
  </si>
  <si>
    <t>TxDOT FTW I-COB-C</t>
  </si>
  <si>
    <t>I-RWF_FTW</t>
  </si>
  <si>
    <t>Roadway Winged Flume Inlet</t>
  </si>
  <si>
    <t>TxDOT FTW I-RWF</t>
  </si>
  <si>
    <t>TY_SD_FTW</t>
  </si>
  <si>
    <t>7x3_Base</t>
  </si>
  <si>
    <t>Type SD Storm Drain Junction Manhole</t>
  </si>
  <si>
    <t>TxDOT FTW TY SD</t>
  </si>
  <si>
    <t>7x4_Base</t>
  </si>
  <si>
    <t>7x5_Base</t>
  </si>
  <si>
    <t>7x6_Base</t>
  </si>
  <si>
    <t>7x7_Base</t>
  </si>
  <si>
    <t>8x3_Base</t>
  </si>
  <si>
    <t>8x4_Base</t>
  </si>
  <si>
    <t>10x10_Base</t>
  </si>
  <si>
    <t>Type SD Large Storm Drain Junction Manhole</t>
  </si>
  <si>
    <t>MC-3</t>
  </si>
  <si>
    <t>MC-4</t>
  </si>
  <si>
    <t>MC-5</t>
  </si>
  <si>
    <t>MC-6</t>
  </si>
  <si>
    <t>MC-7</t>
  </si>
  <si>
    <t>MC-8</t>
  </si>
  <si>
    <t>MC-10</t>
  </si>
  <si>
    <t>SCP-3</t>
  </si>
  <si>
    <t>Precast Single Box Culvert</t>
  </si>
  <si>
    <t>SCP-4</t>
  </si>
  <si>
    <t>SCP-5</t>
  </si>
  <si>
    <t>SCP-6</t>
  </si>
  <si>
    <t>SCP-7</t>
  </si>
  <si>
    <t>SCP-8</t>
  </si>
  <si>
    <t>SCP-10</t>
  </si>
  <si>
    <t>SCP-12</t>
  </si>
  <si>
    <t>Span_FT</t>
  </si>
  <si>
    <t>Depth_FT</t>
  </si>
  <si>
    <t>Min_Fill_Depth_FT</t>
  </si>
  <si>
    <t>Max_Fill_Depth_FT</t>
  </si>
  <si>
    <t>TxDOT CD-SCP03</t>
  </si>
  <si>
    <t>TxDOT CD-SCP04</t>
  </si>
  <si>
    <t>TxDOT CD-SCP05</t>
  </si>
  <si>
    <t>TxDOT CD-SCP06</t>
  </si>
  <si>
    <t>TxDOT CD-SCP07</t>
  </si>
  <si>
    <t>TxDOT CD-SCP08</t>
  </si>
  <si>
    <t>SCP-9</t>
  </si>
  <si>
    <t>TxDOT CD-SCP09</t>
  </si>
  <si>
    <t>TxDOT CD-SCP10</t>
  </si>
  <si>
    <t>SCP-11</t>
  </si>
  <si>
    <t>TxDOT CD-SCP11</t>
  </si>
  <si>
    <t>TxDOT CD-SCP12</t>
  </si>
  <si>
    <t>TxDOT CIP Multi-Box (3ft Span / 2ft Rise)</t>
  </si>
  <si>
    <t>TxDOT CD-MC323</t>
  </si>
  <si>
    <t>TxDOT CIP Multi-Box (3ft Span / 3ft Rise)</t>
  </si>
  <si>
    <t>TxDOT CIP Multi-Box (4ft Span / 2ft Rise)</t>
  </si>
  <si>
    <t>TxDOT CD-MC423</t>
  </si>
  <si>
    <t>TxDOT CIP Multi-Box (4ft Span / 3ft Rise)</t>
  </si>
  <si>
    <t>TxDOT CIP Multi-Box (4ft Span / 4ft Rise)</t>
  </si>
  <si>
    <t>TxDOT CIP Multi-Box (5ft Span Low Fill)</t>
  </si>
  <si>
    <t>TxDOT CD-MC520</t>
  </si>
  <si>
    <t>TxDOT CIP Multi-Box (5ft Span High Fill)</t>
  </si>
  <si>
    <t>TxDOT CD-MC523</t>
  </si>
  <si>
    <t>TxDOT CIP Multi-Box (6ft Span Low Fill)</t>
  </si>
  <si>
    <t>TxDOT CD-MC616</t>
  </si>
  <si>
    <t>TxDOT CIP Multi-Box (6ft Span High Fill)</t>
  </si>
  <si>
    <t>TxDOT CD-MC623</t>
  </si>
  <si>
    <t>TxDOT CIP Multi-Box (7ft Span Low Fill)</t>
  </si>
  <si>
    <t>TxDOT CD-MC716</t>
  </si>
  <si>
    <t>TxDOT CIP Multi-Box (7ft Span High Fill)</t>
  </si>
  <si>
    <t>TxDOT CD-MC723</t>
  </si>
  <si>
    <t>TxDOT CIP Multi-Box (8ft Span Low Fill)</t>
  </si>
  <si>
    <t>TxDOT CD-MC813</t>
  </si>
  <si>
    <t>TxDOT CIP Multi-Box (8ft Span Mid Fill)</t>
  </si>
  <si>
    <t>TxDOT CD-MC816</t>
  </si>
  <si>
    <t>TxDOT CIP Multi-Box (8ft Span High Fill)</t>
  </si>
  <si>
    <t>TxDOT CD-MC820</t>
  </si>
  <si>
    <t>TxDOT CIP Multi-Box (8ft Span Extreme Fill)</t>
  </si>
  <si>
    <t>TxDOT CD-MC823</t>
  </si>
  <si>
    <t>TxDOT CIP Multi-Box (10ft Span Low Fill)</t>
  </si>
  <si>
    <t>TxDOT CD-MC1013</t>
  </si>
  <si>
    <t>TxDOT CIP Multi-Box (10ft Span High Fill)</t>
  </si>
  <si>
    <t>TxDOT CD-MC1023</t>
  </si>
  <si>
    <t>MC-12</t>
  </si>
  <si>
    <t>TxDOT CIP Multi-Box (12ft Span Low Fill)</t>
  </si>
  <si>
    <t>TxDOT CD-MC1213</t>
  </si>
  <si>
    <t>TxDOT CIP Multi-Box (12ft Span High Fill)</t>
  </si>
  <si>
    <t>TxDOT CD-MC1223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</si>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</sst>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8318-7C04-4825-AB69-948EA11FCD3C}">
  <dimension ref="A1:I28"/>
  <sheetViews>
    <sheetView workbookViewId="0">
      <selection sqref="A1:I28"/>
    </sheetView>
  </sheetViews>
  <sheetFormatPr defaultRowHeight="15" x14ac:dyDescent="0.25"/>
  <cols>
    <col min="1" max="1" width="22.140625" bestFit="1" customWidth="1"/>
    <col min="2" max="2" width="14.28515625" bestFit="1" customWidth="1"/>
    <col min="3" max="3" width="16" bestFit="1" customWidth="1"/>
    <col min="4" max="4" width="17.85546875" bestFit="1" customWidth="1"/>
    <col min="5" max="5" width="17" bestFit="1" customWidth="1"/>
    <col min="7" max="7" width="17.42578125" bestFit="1" customWidth="1"/>
    <col min="8" max="8" width="47.85546875" bestFit="1" customWidth="1"/>
    <col min="9" max="9" width="19.5703125" bestFit="1" customWidth="1"/>
  </cols>
  <sheetData>
    <row r="1" spans="1:9" x14ac:dyDescent="0.25">
      <c r="A1" t="s">
        <v>184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tr">
        <f>CONCATENATE(B2, "-(",C2,")")</f>
        <v>PAZD-(3x3)</v>
      </c>
      <c r="B2" t="s">
        <v>8</v>
      </c>
      <c r="C2" t="s">
        <v>9</v>
      </c>
      <c r="D2">
        <v>6</v>
      </c>
      <c r="E2">
        <v>6</v>
      </c>
      <c r="F2">
        <v>6</v>
      </c>
      <c r="G2">
        <v>0.5</v>
      </c>
      <c r="H2" t="s">
        <v>10</v>
      </c>
      <c r="I2" t="s">
        <v>11</v>
      </c>
    </row>
    <row r="3" spans="1:9" x14ac:dyDescent="0.25">
      <c r="A3" t="str">
        <f t="shared" ref="A3:A28" si="0">CONCATENATE(B3, "-(",C3,")")</f>
        <v>PAZD-(4x4)</v>
      </c>
      <c r="B3" t="s">
        <v>8</v>
      </c>
      <c r="C3" t="s">
        <v>12</v>
      </c>
      <c r="D3">
        <v>6</v>
      </c>
      <c r="E3">
        <v>6</v>
      </c>
      <c r="F3">
        <v>6</v>
      </c>
      <c r="G3">
        <v>0.5</v>
      </c>
      <c r="H3" t="s">
        <v>10</v>
      </c>
      <c r="I3" t="s">
        <v>11</v>
      </c>
    </row>
    <row r="4" spans="1:9" x14ac:dyDescent="0.25">
      <c r="A4" t="str">
        <f t="shared" si="0"/>
        <v>PAZD-(5x5)</v>
      </c>
      <c r="B4" t="s">
        <v>8</v>
      </c>
      <c r="C4" t="s">
        <v>13</v>
      </c>
      <c r="D4">
        <v>6</v>
      </c>
      <c r="E4">
        <v>6</v>
      </c>
      <c r="F4">
        <v>6</v>
      </c>
      <c r="G4">
        <v>0.5</v>
      </c>
      <c r="H4" t="s">
        <v>10</v>
      </c>
      <c r="I4" t="s">
        <v>11</v>
      </c>
    </row>
    <row r="5" spans="1:9" x14ac:dyDescent="0.25">
      <c r="A5" t="str">
        <f t="shared" si="0"/>
        <v>PCO-(3x5_No_Ext)</v>
      </c>
      <c r="B5" t="s">
        <v>14</v>
      </c>
      <c r="C5" t="s">
        <v>15</v>
      </c>
      <c r="D5">
        <v>6</v>
      </c>
      <c r="E5">
        <v>6</v>
      </c>
      <c r="F5">
        <v>8</v>
      </c>
      <c r="G5">
        <v>0.85</v>
      </c>
      <c r="H5" t="s">
        <v>16</v>
      </c>
      <c r="I5" t="s">
        <v>17</v>
      </c>
    </row>
    <row r="6" spans="1:9" x14ac:dyDescent="0.25">
      <c r="A6" t="str">
        <f t="shared" si="0"/>
        <v>PCO-(3x5_One_Ext)</v>
      </c>
      <c r="B6" t="s">
        <v>14</v>
      </c>
      <c r="C6" t="s">
        <v>18</v>
      </c>
      <c r="D6">
        <v>6</v>
      </c>
      <c r="E6">
        <v>6</v>
      </c>
      <c r="F6">
        <v>8</v>
      </c>
      <c r="G6">
        <v>0.85</v>
      </c>
      <c r="H6" t="s">
        <v>19</v>
      </c>
      <c r="I6" t="s">
        <v>17</v>
      </c>
    </row>
    <row r="7" spans="1:9" x14ac:dyDescent="0.25">
      <c r="A7" t="str">
        <f t="shared" si="0"/>
        <v>PCO-(3x5_Two_Ext)</v>
      </c>
      <c r="B7" t="s">
        <v>14</v>
      </c>
      <c r="C7" t="s">
        <v>20</v>
      </c>
      <c r="D7">
        <v>6</v>
      </c>
      <c r="E7">
        <v>6</v>
      </c>
      <c r="F7">
        <v>8</v>
      </c>
      <c r="G7">
        <v>0.85</v>
      </c>
      <c r="H7" t="s">
        <v>21</v>
      </c>
      <c r="I7" t="s">
        <v>17</v>
      </c>
    </row>
    <row r="8" spans="1:9" x14ac:dyDescent="0.25">
      <c r="A8" t="str">
        <f t="shared" si="0"/>
        <v>PCO-(4x10_No_Ext)</v>
      </c>
      <c r="B8" t="s">
        <v>14</v>
      </c>
      <c r="C8" t="s">
        <v>22</v>
      </c>
      <c r="D8">
        <v>6</v>
      </c>
      <c r="E8">
        <v>6</v>
      </c>
      <c r="F8">
        <v>8</v>
      </c>
      <c r="G8">
        <v>0.85</v>
      </c>
      <c r="H8" t="s">
        <v>19</v>
      </c>
      <c r="I8" t="s">
        <v>17</v>
      </c>
    </row>
    <row r="9" spans="1:9" x14ac:dyDescent="0.25">
      <c r="A9" t="str">
        <f t="shared" si="0"/>
        <v>PCO-(4x10_One_Ext)</v>
      </c>
      <c r="B9" t="s">
        <v>14</v>
      </c>
      <c r="C9" t="s">
        <v>23</v>
      </c>
      <c r="D9">
        <v>6</v>
      </c>
      <c r="E9">
        <v>6</v>
      </c>
      <c r="F9">
        <v>8</v>
      </c>
      <c r="G9">
        <v>0.85</v>
      </c>
      <c r="H9" t="s">
        <v>21</v>
      </c>
      <c r="I9" t="s">
        <v>17</v>
      </c>
    </row>
    <row r="10" spans="1:9" x14ac:dyDescent="0.25">
      <c r="A10" t="str">
        <f t="shared" si="0"/>
        <v>PCU-(3x5_No_Ext)</v>
      </c>
      <c r="B10" t="s">
        <v>24</v>
      </c>
      <c r="C10" t="s">
        <v>15</v>
      </c>
      <c r="D10">
        <v>6</v>
      </c>
      <c r="E10">
        <v>6</v>
      </c>
      <c r="F10">
        <v>8</v>
      </c>
      <c r="G10">
        <v>0.85</v>
      </c>
      <c r="H10" t="s">
        <v>25</v>
      </c>
      <c r="I10" t="s">
        <v>26</v>
      </c>
    </row>
    <row r="11" spans="1:9" x14ac:dyDescent="0.25">
      <c r="A11" t="str">
        <f t="shared" si="0"/>
        <v>PCU-(3x5_One_Ext)</v>
      </c>
      <c r="B11" t="s">
        <v>24</v>
      </c>
      <c r="C11" t="s">
        <v>18</v>
      </c>
      <c r="D11">
        <v>6</v>
      </c>
      <c r="E11">
        <v>6</v>
      </c>
      <c r="F11">
        <v>8</v>
      </c>
      <c r="G11">
        <v>0.85</v>
      </c>
      <c r="H11" t="s">
        <v>27</v>
      </c>
      <c r="I11" t="s">
        <v>26</v>
      </c>
    </row>
    <row r="12" spans="1:9" x14ac:dyDescent="0.25">
      <c r="A12" t="str">
        <f t="shared" si="0"/>
        <v>PCU-(3x5_Two_Ext)</v>
      </c>
      <c r="B12" t="s">
        <v>24</v>
      </c>
      <c r="C12" t="s">
        <v>20</v>
      </c>
      <c r="D12">
        <v>6</v>
      </c>
      <c r="E12">
        <v>6</v>
      </c>
      <c r="F12">
        <v>8</v>
      </c>
      <c r="G12">
        <v>0.85</v>
      </c>
      <c r="H12" t="s">
        <v>28</v>
      </c>
      <c r="I12" t="s">
        <v>26</v>
      </c>
    </row>
    <row r="13" spans="1:9" x14ac:dyDescent="0.25">
      <c r="A13" t="str">
        <f t="shared" si="0"/>
        <v>PCU-(4x10_No_Ext)</v>
      </c>
      <c r="B13" t="s">
        <v>24</v>
      </c>
      <c r="C13" t="s">
        <v>22</v>
      </c>
      <c r="D13">
        <v>6</v>
      </c>
      <c r="E13">
        <v>6</v>
      </c>
      <c r="F13">
        <v>8</v>
      </c>
      <c r="G13">
        <v>0.85</v>
      </c>
      <c r="H13" t="s">
        <v>27</v>
      </c>
      <c r="I13" t="s">
        <v>26</v>
      </c>
    </row>
    <row r="14" spans="1:9" x14ac:dyDescent="0.25">
      <c r="A14" t="str">
        <f t="shared" si="0"/>
        <v>PCU-(4x10_One_Ext)</v>
      </c>
      <c r="B14" t="s">
        <v>24</v>
      </c>
      <c r="C14" t="s">
        <v>23</v>
      </c>
      <c r="D14">
        <v>6</v>
      </c>
      <c r="E14">
        <v>6</v>
      </c>
      <c r="F14">
        <v>8</v>
      </c>
      <c r="G14">
        <v>0.85</v>
      </c>
      <c r="H14" t="s">
        <v>28</v>
      </c>
      <c r="I14" t="s">
        <v>26</v>
      </c>
    </row>
    <row r="15" spans="1:9" x14ac:dyDescent="0.25">
      <c r="A15" t="str">
        <f t="shared" si="0"/>
        <v>PCU-(5x10_No_Ext)</v>
      </c>
      <c r="B15" t="s">
        <v>24</v>
      </c>
      <c r="C15" t="s">
        <v>29</v>
      </c>
      <c r="D15">
        <v>6</v>
      </c>
      <c r="E15">
        <v>6</v>
      </c>
      <c r="F15">
        <v>8</v>
      </c>
      <c r="G15">
        <v>0.85</v>
      </c>
      <c r="H15" t="s">
        <v>30</v>
      </c>
      <c r="I15" t="s">
        <v>26</v>
      </c>
    </row>
    <row r="16" spans="1:9" x14ac:dyDescent="0.25">
      <c r="A16" t="str">
        <f t="shared" si="0"/>
        <v>PRM-(4ft_Dia)</v>
      </c>
      <c r="B16" t="s">
        <v>31</v>
      </c>
      <c r="C16" t="s">
        <v>32</v>
      </c>
      <c r="D16">
        <v>5</v>
      </c>
      <c r="E16">
        <v>6</v>
      </c>
      <c r="F16">
        <v>8</v>
      </c>
      <c r="G16">
        <v>0.5</v>
      </c>
      <c r="H16" t="s">
        <v>33</v>
      </c>
      <c r="I16" t="s">
        <v>34</v>
      </c>
    </row>
    <row r="17" spans="1:9" x14ac:dyDescent="0.25">
      <c r="A17" t="str">
        <f t="shared" si="0"/>
        <v>PRM-(5ft_Dia)</v>
      </c>
      <c r="B17" t="s">
        <v>31</v>
      </c>
      <c r="C17" t="s">
        <v>35</v>
      </c>
      <c r="D17">
        <v>6</v>
      </c>
      <c r="E17">
        <v>8</v>
      </c>
      <c r="F17">
        <v>8</v>
      </c>
      <c r="G17">
        <v>0.6</v>
      </c>
      <c r="H17" t="s">
        <v>36</v>
      </c>
      <c r="I17" t="s">
        <v>34</v>
      </c>
    </row>
    <row r="18" spans="1:9" x14ac:dyDescent="0.25">
      <c r="A18" t="str">
        <f t="shared" si="0"/>
        <v>PRM-(6ft_Dia)</v>
      </c>
      <c r="B18" t="s">
        <v>31</v>
      </c>
      <c r="C18" t="s">
        <v>37</v>
      </c>
      <c r="D18">
        <v>7</v>
      </c>
      <c r="E18">
        <v>8</v>
      </c>
      <c r="F18">
        <v>8</v>
      </c>
      <c r="G18">
        <v>0.8</v>
      </c>
      <c r="H18" t="s">
        <v>38</v>
      </c>
      <c r="I18" t="s">
        <v>34</v>
      </c>
    </row>
    <row r="19" spans="1:9" x14ac:dyDescent="0.25">
      <c r="A19" t="str">
        <f t="shared" si="0"/>
        <v>PRM-(7ft_Dia)</v>
      </c>
      <c r="B19" t="s">
        <v>31</v>
      </c>
      <c r="C19" t="s">
        <v>39</v>
      </c>
      <c r="D19">
        <v>8</v>
      </c>
      <c r="E19">
        <v>10</v>
      </c>
      <c r="F19">
        <v>12</v>
      </c>
      <c r="G19">
        <v>0.8</v>
      </c>
      <c r="H19" t="s">
        <v>40</v>
      </c>
      <c r="I19" t="s">
        <v>34</v>
      </c>
    </row>
    <row r="20" spans="1:9" x14ac:dyDescent="0.25">
      <c r="A20" t="str">
        <f t="shared" si="0"/>
        <v>PJB-(3x3)</v>
      </c>
      <c r="B20" t="s">
        <v>41</v>
      </c>
      <c r="C20" t="s">
        <v>9</v>
      </c>
      <c r="D20">
        <v>8</v>
      </c>
      <c r="E20">
        <v>10</v>
      </c>
      <c r="F20">
        <v>10</v>
      </c>
      <c r="G20">
        <v>1</v>
      </c>
      <c r="H20" t="s">
        <v>42</v>
      </c>
      <c r="I20" t="s">
        <v>43</v>
      </c>
    </row>
    <row r="21" spans="1:9" x14ac:dyDescent="0.25">
      <c r="A21" t="str">
        <f t="shared" si="0"/>
        <v>PJB-(4x4)</v>
      </c>
      <c r="B21" t="s">
        <v>41</v>
      </c>
      <c r="C21" t="s">
        <v>12</v>
      </c>
      <c r="D21">
        <v>8</v>
      </c>
      <c r="E21">
        <v>10</v>
      </c>
      <c r="F21">
        <v>10</v>
      </c>
      <c r="G21">
        <v>1</v>
      </c>
      <c r="H21" t="s">
        <v>42</v>
      </c>
      <c r="I21" t="s">
        <v>43</v>
      </c>
    </row>
    <row r="22" spans="1:9" x14ac:dyDescent="0.25">
      <c r="A22" t="str">
        <f t="shared" si="0"/>
        <v>PJB-(5x5)</v>
      </c>
      <c r="B22" t="s">
        <v>41</v>
      </c>
      <c r="C22" t="s">
        <v>13</v>
      </c>
      <c r="D22">
        <v>8</v>
      </c>
      <c r="E22">
        <v>10</v>
      </c>
      <c r="F22">
        <v>10</v>
      </c>
      <c r="G22">
        <v>1</v>
      </c>
      <c r="H22" t="s">
        <v>42</v>
      </c>
      <c r="I22" t="s">
        <v>43</v>
      </c>
    </row>
    <row r="23" spans="1:9" x14ac:dyDescent="0.25">
      <c r="A23" t="str">
        <f t="shared" si="0"/>
        <v>PJB-(6x6)</v>
      </c>
      <c r="B23" t="s">
        <v>41</v>
      </c>
      <c r="C23" t="s">
        <v>44</v>
      </c>
      <c r="D23">
        <v>8</v>
      </c>
      <c r="E23">
        <v>10</v>
      </c>
      <c r="F23">
        <v>10</v>
      </c>
      <c r="G23">
        <v>1</v>
      </c>
      <c r="H23" t="s">
        <v>42</v>
      </c>
      <c r="I23" t="s">
        <v>43</v>
      </c>
    </row>
    <row r="24" spans="1:9" x14ac:dyDescent="0.25">
      <c r="A24" t="str">
        <f t="shared" si="0"/>
        <v>PJB-(7x7)</v>
      </c>
      <c r="B24" t="s">
        <v>41</v>
      </c>
      <c r="C24" t="s">
        <v>45</v>
      </c>
      <c r="D24">
        <v>8</v>
      </c>
      <c r="E24">
        <v>12</v>
      </c>
      <c r="F24">
        <v>12</v>
      </c>
      <c r="G24">
        <v>1</v>
      </c>
      <c r="H24" t="s">
        <v>42</v>
      </c>
      <c r="I24" t="s">
        <v>43</v>
      </c>
    </row>
    <row r="25" spans="1:9" x14ac:dyDescent="0.25">
      <c r="A25" t="str">
        <f t="shared" si="0"/>
        <v>PJB-(8x8)</v>
      </c>
      <c r="B25" t="s">
        <v>41</v>
      </c>
      <c r="C25" t="s">
        <v>46</v>
      </c>
      <c r="D25">
        <v>10</v>
      </c>
      <c r="E25">
        <v>12</v>
      </c>
      <c r="F25">
        <v>12</v>
      </c>
      <c r="G25">
        <v>1</v>
      </c>
      <c r="H25" t="s">
        <v>42</v>
      </c>
      <c r="I25" t="s">
        <v>43</v>
      </c>
    </row>
    <row r="26" spans="1:9" x14ac:dyDescent="0.25">
      <c r="A26" t="str">
        <f t="shared" si="0"/>
        <v>PJB-(9x9)</v>
      </c>
      <c r="B26" t="s">
        <v>41</v>
      </c>
      <c r="C26" t="s">
        <v>47</v>
      </c>
      <c r="D26">
        <v>10</v>
      </c>
      <c r="E26">
        <v>12</v>
      </c>
      <c r="F26">
        <v>12</v>
      </c>
      <c r="G26">
        <v>1</v>
      </c>
      <c r="H26" t="s">
        <v>42</v>
      </c>
      <c r="I26" t="s">
        <v>43</v>
      </c>
    </row>
    <row r="27" spans="1:9" x14ac:dyDescent="0.25">
      <c r="A27" t="str">
        <f t="shared" si="0"/>
        <v>PJB-(10x10)</v>
      </c>
      <c r="B27" t="s">
        <v>41</v>
      </c>
      <c r="C27" t="s">
        <v>48</v>
      </c>
      <c r="D27">
        <v>12</v>
      </c>
      <c r="E27">
        <v>14</v>
      </c>
      <c r="F27">
        <v>14</v>
      </c>
      <c r="G27">
        <v>1</v>
      </c>
      <c r="H27" t="s">
        <v>42</v>
      </c>
      <c r="I27" t="s">
        <v>43</v>
      </c>
    </row>
    <row r="28" spans="1:9" x14ac:dyDescent="0.25">
      <c r="A28" t="str">
        <f t="shared" si="0"/>
        <v>JBOX_CIP-(Custom_CIP)</v>
      </c>
      <c r="B28" t="s">
        <v>49</v>
      </c>
      <c r="C28" t="s">
        <v>50</v>
      </c>
      <c r="D28">
        <v>8</v>
      </c>
      <c r="E28">
        <v>10</v>
      </c>
      <c r="F28">
        <v>12</v>
      </c>
      <c r="G28">
        <v>1</v>
      </c>
      <c r="H28" t="s">
        <v>51</v>
      </c>
      <c r="I2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6483-FBAB-44B2-9CF0-16DEF4EE3B79}">
  <dimension ref="A1:I29"/>
  <sheetViews>
    <sheetView workbookViewId="0">
      <selection activeCell="A2" sqref="A2:I29"/>
    </sheetView>
  </sheetViews>
  <sheetFormatPr defaultRowHeight="15" x14ac:dyDescent="0.25"/>
  <cols>
    <col min="1" max="1" width="28.140625" bestFit="1" customWidth="1"/>
    <col min="2" max="2" width="14.28515625" bestFit="1" customWidth="1"/>
    <col min="3" max="3" width="16" bestFit="1" customWidth="1"/>
    <col min="4" max="4" width="17.85546875" bestFit="1" customWidth="1"/>
    <col min="5" max="5" width="17" bestFit="1" customWidth="1"/>
    <col min="6" max="6" width="20.140625" bestFit="1" customWidth="1"/>
    <col min="7" max="7" width="17.42578125" bestFit="1" customWidth="1"/>
    <col min="8" max="8" width="41.140625" bestFit="1" customWidth="1"/>
    <col min="9" max="9" width="19.5703125" bestFit="1" customWidth="1"/>
  </cols>
  <sheetData>
    <row r="1" spans="1:9" x14ac:dyDescent="0.25">
      <c r="A1" t="s">
        <v>184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tr">
        <f>CONCATENATE(B2, "-(",C2,")")</f>
        <v>I-AD-1_FTW-(3x3_Riser)</v>
      </c>
      <c r="B2" t="s">
        <v>53</v>
      </c>
      <c r="C2" t="s">
        <v>54</v>
      </c>
      <c r="D2">
        <v>6</v>
      </c>
      <c r="E2">
        <v>6</v>
      </c>
      <c r="F2">
        <v>8</v>
      </c>
      <c r="G2">
        <v>0.5</v>
      </c>
      <c r="H2" t="s">
        <v>55</v>
      </c>
      <c r="I2" t="s">
        <v>56</v>
      </c>
    </row>
    <row r="3" spans="1:9" x14ac:dyDescent="0.25">
      <c r="A3" t="str">
        <f t="shared" ref="A3:A29" si="0">CONCATENATE(B3, "-(",C3,")")</f>
        <v>I-AD-2_FTW-(3x3_on_Base)</v>
      </c>
      <c r="B3" t="s">
        <v>57</v>
      </c>
      <c r="C3" t="s">
        <v>58</v>
      </c>
      <c r="D3">
        <v>6</v>
      </c>
      <c r="E3">
        <v>6</v>
      </c>
      <c r="F3">
        <v>8</v>
      </c>
      <c r="G3">
        <v>0.8</v>
      </c>
      <c r="H3" t="s">
        <v>59</v>
      </c>
      <c r="I3" t="s">
        <v>60</v>
      </c>
    </row>
    <row r="4" spans="1:9" x14ac:dyDescent="0.25">
      <c r="A4" t="str">
        <f t="shared" si="0"/>
        <v>I-FG_FTW-(3x3_Base)</v>
      </c>
      <c r="B4" t="s">
        <v>61</v>
      </c>
      <c r="C4" t="s">
        <v>62</v>
      </c>
      <c r="D4">
        <v>6</v>
      </c>
      <c r="E4">
        <v>6</v>
      </c>
      <c r="F4">
        <v>8</v>
      </c>
      <c r="G4">
        <v>0.5</v>
      </c>
      <c r="H4" t="s">
        <v>63</v>
      </c>
      <c r="I4" t="s">
        <v>64</v>
      </c>
    </row>
    <row r="5" spans="1:9" x14ac:dyDescent="0.25">
      <c r="A5" t="str">
        <f t="shared" si="0"/>
        <v>I-FGR_FTW-(3x3_on_Box)</v>
      </c>
      <c r="B5" t="s">
        <v>65</v>
      </c>
      <c r="C5" t="s">
        <v>66</v>
      </c>
      <c r="D5">
        <v>6</v>
      </c>
      <c r="E5">
        <v>6</v>
      </c>
      <c r="F5">
        <v>10</v>
      </c>
      <c r="G5">
        <v>0.85</v>
      </c>
      <c r="H5" t="s">
        <v>67</v>
      </c>
      <c r="I5" t="s">
        <v>68</v>
      </c>
    </row>
    <row r="6" spans="1:9" x14ac:dyDescent="0.25">
      <c r="A6" t="str">
        <f t="shared" si="0"/>
        <v>I-CO_FTW-(5ft_Opening)</v>
      </c>
      <c r="B6" t="s">
        <v>69</v>
      </c>
      <c r="C6" t="s">
        <v>70</v>
      </c>
      <c r="D6">
        <v>6</v>
      </c>
      <c r="E6">
        <v>6</v>
      </c>
      <c r="F6">
        <v>8</v>
      </c>
      <c r="G6">
        <v>0.85</v>
      </c>
      <c r="H6" t="s">
        <v>71</v>
      </c>
      <c r="I6" t="s">
        <v>72</v>
      </c>
    </row>
    <row r="7" spans="1:9" x14ac:dyDescent="0.25">
      <c r="A7" t="str">
        <f t="shared" si="0"/>
        <v>I-CO_FTW-(10ft_Opening)</v>
      </c>
      <c r="B7" t="s">
        <v>69</v>
      </c>
      <c r="C7" t="s">
        <v>73</v>
      </c>
      <c r="D7">
        <v>6</v>
      </c>
      <c r="E7">
        <v>6</v>
      </c>
      <c r="F7">
        <v>10</v>
      </c>
      <c r="G7">
        <v>0.85</v>
      </c>
      <c r="H7" t="s">
        <v>74</v>
      </c>
      <c r="I7" t="s">
        <v>72</v>
      </c>
    </row>
    <row r="8" spans="1:9" x14ac:dyDescent="0.25">
      <c r="A8" t="str">
        <f t="shared" si="0"/>
        <v>I-CO_FTW-(15ft_Opening)</v>
      </c>
      <c r="B8" t="s">
        <v>69</v>
      </c>
      <c r="C8" t="s">
        <v>75</v>
      </c>
      <c r="D8">
        <v>8</v>
      </c>
      <c r="E8">
        <v>6</v>
      </c>
      <c r="F8">
        <v>10</v>
      </c>
      <c r="G8">
        <v>0.85</v>
      </c>
      <c r="H8" t="s">
        <v>76</v>
      </c>
      <c r="I8" t="s">
        <v>72</v>
      </c>
    </row>
    <row r="9" spans="1:9" x14ac:dyDescent="0.25">
      <c r="A9" t="str">
        <f t="shared" si="0"/>
        <v>I-CO_FTW-(20ft_Opening)</v>
      </c>
      <c r="B9" t="s">
        <v>69</v>
      </c>
      <c r="C9" t="s">
        <v>77</v>
      </c>
      <c r="D9">
        <v>8</v>
      </c>
      <c r="E9">
        <v>8</v>
      </c>
      <c r="F9">
        <v>12</v>
      </c>
      <c r="G9">
        <v>0.85</v>
      </c>
      <c r="H9" t="s">
        <v>78</v>
      </c>
      <c r="I9" t="s">
        <v>72</v>
      </c>
    </row>
    <row r="10" spans="1:9" x14ac:dyDescent="0.25">
      <c r="A10" t="str">
        <f t="shared" si="0"/>
        <v>I-CO-C_FTW-(5x10_Box_Base)</v>
      </c>
      <c r="B10" t="s">
        <v>79</v>
      </c>
      <c r="C10" t="s">
        <v>80</v>
      </c>
      <c r="D10">
        <v>8</v>
      </c>
      <c r="E10">
        <v>6</v>
      </c>
      <c r="F10">
        <v>10</v>
      </c>
      <c r="G10">
        <v>0.9</v>
      </c>
      <c r="H10" t="s">
        <v>81</v>
      </c>
      <c r="I10" t="s">
        <v>82</v>
      </c>
    </row>
    <row r="11" spans="1:9" x14ac:dyDescent="0.25">
      <c r="A11" t="str">
        <f t="shared" si="0"/>
        <v>I-CU_FTW-(5ft_Opening)</v>
      </c>
      <c r="B11" t="s">
        <v>83</v>
      </c>
      <c r="C11" t="s">
        <v>70</v>
      </c>
      <c r="D11">
        <v>6</v>
      </c>
      <c r="E11">
        <v>6</v>
      </c>
      <c r="F11">
        <v>10</v>
      </c>
      <c r="G11">
        <v>0.85</v>
      </c>
      <c r="H11" t="s">
        <v>84</v>
      </c>
      <c r="I11" t="s">
        <v>85</v>
      </c>
    </row>
    <row r="12" spans="1:9" x14ac:dyDescent="0.25">
      <c r="A12" t="str">
        <f t="shared" si="0"/>
        <v>I-CU_FTW-(10ft_Opening)</v>
      </c>
      <c r="B12" t="s">
        <v>83</v>
      </c>
      <c r="C12" t="s">
        <v>73</v>
      </c>
      <c r="D12">
        <v>6</v>
      </c>
      <c r="E12">
        <v>6</v>
      </c>
      <c r="F12">
        <v>10</v>
      </c>
      <c r="G12">
        <v>0.85</v>
      </c>
      <c r="H12" t="s">
        <v>86</v>
      </c>
      <c r="I12" t="s">
        <v>85</v>
      </c>
    </row>
    <row r="13" spans="1:9" x14ac:dyDescent="0.25">
      <c r="A13" t="str">
        <f t="shared" si="0"/>
        <v>I-CU_FTW-(15ft_Opening)</v>
      </c>
      <c r="B13" t="s">
        <v>83</v>
      </c>
      <c r="C13" t="s">
        <v>75</v>
      </c>
      <c r="D13">
        <v>8</v>
      </c>
      <c r="E13">
        <v>8</v>
      </c>
      <c r="F13">
        <v>12</v>
      </c>
      <c r="G13">
        <v>0.85</v>
      </c>
      <c r="H13" t="s">
        <v>87</v>
      </c>
      <c r="I13" t="s">
        <v>85</v>
      </c>
    </row>
    <row r="14" spans="1:9" x14ac:dyDescent="0.25">
      <c r="A14" t="str">
        <f t="shared" si="0"/>
        <v>I-CU_FTW-(20ft_Opening)</v>
      </c>
      <c r="B14" t="s">
        <v>83</v>
      </c>
      <c r="C14" t="s">
        <v>77</v>
      </c>
      <c r="D14">
        <v>8</v>
      </c>
      <c r="E14">
        <v>8</v>
      </c>
      <c r="F14">
        <v>12</v>
      </c>
      <c r="G14">
        <v>0.85</v>
      </c>
      <c r="H14" t="s">
        <v>88</v>
      </c>
      <c r="I14" t="s">
        <v>85</v>
      </c>
    </row>
    <row r="15" spans="1:9" x14ac:dyDescent="0.25">
      <c r="A15" t="str">
        <f t="shared" si="0"/>
        <v>I-CU-C_FTW-(5x10_Box_Base)</v>
      </c>
      <c r="B15" t="s">
        <v>89</v>
      </c>
      <c r="C15" t="s">
        <v>80</v>
      </c>
      <c r="D15">
        <v>10</v>
      </c>
      <c r="E15">
        <v>8</v>
      </c>
      <c r="F15">
        <v>10</v>
      </c>
      <c r="G15">
        <v>0.9</v>
      </c>
      <c r="H15" t="s">
        <v>90</v>
      </c>
      <c r="I15" t="s">
        <v>91</v>
      </c>
    </row>
    <row r="16" spans="1:9" x14ac:dyDescent="0.25">
      <c r="A16" t="str">
        <f t="shared" si="0"/>
        <v>I-COB_FTW-(5ft_Opening)</v>
      </c>
      <c r="B16" t="s">
        <v>92</v>
      </c>
      <c r="C16" t="s">
        <v>70</v>
      </c>
      <c r="D16">
        <v>6</v>
      </c>
      <c r="E16">
        <v>6</v>
      </c>
      <c r="F16">
        <v>10</v>
      </c>
      <c r="G16">
        <v>0.85</v>
      </c>
      <c r="H16" t="s">
        <v>93</v>
      </c>
      <c r="I16" t="s">
        <v>94</v>
      </c>
    </row>
    <row r="17" spans="1:9" x14ac:dyDescent="0.25">
      <c r="A17" t="str">
        <f t="shared" si="0"/>
        <v>I-COB_FTW-(10ft_Opening)</v>
      </c>
      <c r="B17" t="s">
        <v>92</v>
      </c>
      <c r="C17" t="s">
        <v>73</v>
      </c>
      <c r="D17">
        <v>6</v>
      </c>
      <c r="E17">
        <v>6</v>
      </c>
      <c r="F17">
        <v>10</v>
      </c>
      <c r="G17">
        <v>0.85</v>
      </c>
      <c r="H17" t="s">
        <v>95</v>
      </c>
      <c r="I17" t="s">
        <v>94</v>
      </c>
    </row>
    <row r="18" spans="1:9" x14ac:dyDescent="0.25">
      <c r="A18" t="str">
        <f t="shared" si="0"/>
        <v>I-COB_FTW-(15ft_Opening)</v>
      </c>
      <c r="B18" t="s">
        <v>92</v>
      </c>
      <c r="C18" t="s">
        <v>75</v>
      </c>
      <c r="D18">
        <v>8</v>
      </c>
      <c r="E18">
        <v>6</v>
      </c>
      <c r="F18">
        <v>12</v>
      </c>
      <c r="G18">
        <v>0.85</v>
      </c>
      <c r="H18" t="s">
        <v>96</v>
      </c>
      <c r="I18" t="s">
        <v>94</v>
      </c>
    </row>
    <row r="19" spans="1:9" x14ac:dyDescent="0.25">
      <c r="A19" t="str">
        <f t="shared" si="0"/>
        <v>I-COB_FTW-(20ft_Opening)</v>
      </c>
      <c r="B19" t="s">
        <v>92</v>
      </c>
      <c r="C19" t="s">
        <v>77</v>
      </c>
      <c r="D19">
        <v>8</v>
      </c>
      <c r="E19">
        <v>8</v>
      </c>
      <c r="F19">
        <v>12</v>
      </c>
      <c r="G19">
        <v>0.85</v>
      </c>
      <c r="H19" t="s">
        <v>97</v>
      </c>
      <c r="I19" t="s">
        <v>94</v>
      </c>
    </row>
    <row r="20" spans="1:9" x14ac:dyDescent="0.25">
      <c r="A20" t="str">
        <f t="shared" si="0"/>
        <v>I-COB-C_FTW-(5x10_Box_Base)</v>
      </c>
      <c r="B20" t="s">
        <v>98</v>
      </c>
      <c r="C20" t="s">
        <v>80</v>
      </c>
      <c r="D20">
        <v>8</v>
      </c>
      <c r="E20">
        <v>6</v>
      </c>
      <c r="F20">
        <v>10</v>
      </c>
      <c r="G20">
        <v>0.95</v>
      </c>
      <c r="H20" t="s">
        <v>99</v>
      </c>
      <c r="I20" t="s">
        <v>100</v>
      </c>
    </row>
    <row r="21" spans="1:9" x14ac:dyDescent="0.25">
      <c r="A21" t="str">
        <f t="shared" si="0"/>
        <v>I-RWF_FTW-(3x3_Riser)</v>
      </c>
      <c r="B21" t="s">
        <v>101</v>
      </c>
      <c r="C21" t="s">
        <v>54</v>
      </c>
      <c r="D21">
        <v>6</v>
      </c>
      <c r="E21">
        <v>6</v>
      </c>
      <c r="F21">
        <v>8</v>
      </c>
      <c r="G21">
        <v>0.7</v>
      </c>
      <c r="H21" t="s">
        <v>102</v>
      </c>
      <c r="I21" t="s">
        <v>103</v>
      </c>
    </row>
    <row r="22" spans="1:9" x14ac:dyDescent="0.25">
      <c r="A22" t="str">
        <f t="shared" si="0"/>
        <v>TY_SD_FTW-(7x3_Base)</v>
      </c>
      <c r="B22" t="s">
        <v>104</v>
      </c>
      <c r="C22" t="s">
        <v>105</v>
      </c>
      <c r="D22">
        <v>8</v>
      </c>
      <c r="E22">
        <v>10</v>
      </c>
      <c r="F22">
        <v>10</v>
      </c>
      <c r="G22">
        <v>1</v>
      </c>
      <c r="H22" t="s">
        <v>106</v>
      </c>
      <c r="I22" t="s">
        <v>107</v>
      </c>
    </row>
    <row r="23" spans="1:9" x14ac:dyDescent="0.25">
      <c r="A23" t="str">
        <f t="shared" si="0"/>
        <v>TY_SD_FTW-(7x4_Base)</v>
      </c>
      <c r="B23" t="s">
        <v>104</v>
      </c>
      <c r="C23" t="s">
        <v>108</v>
      </c>
      <c r="D23">
        <v>8</v>
      </c>
      <c r="E23">
        <v>10</v>
      </c>
      <c r="F23">
        <v>10</v>
      </c>
      <c r="G23">
        <v>1</v>
      </c>
      <c r="H23" t="s">
        <v>106</v>
      </c>
      <c r="I23" t="s">
        <v>107</v>
      </c>
    </row>
    <row r="24" spans="1:9" x14ac:dyDescent="0.25">
      <c r="A24" t="str">
        <f t="shared" si="0"/>
        <v>TY_SD_FTW-(7x5_Base)</v>
      </c>
      <c r="B24" t="s">
        <v>104</v>
      </c>
      <c r="C24" t="s">
        <v>109</v>
      </c>
      <c r="D24">
        <v>8</v>
      </c>
      <c r="E24">
        <v>10</v>
      </c>
      <c r="F24">
        <v>10</v>
      </c>
      <c r="G24">
        <v>1</v>
      </c>
      <c r="H24" t="s">
        <v>106</v>
      </c>
      <c r="I24" t="s">
        <v>107</v>
      </c>
    </row>
    <row r="25" spans="1:9" x14ac:dyDescent="0.25">
      <c r="A25" t="str">
        <f t="shared" si="0"/>
        <v>TY_SD_FTW-(7x6_Base)</v>
      </c>
      <c r="B25" t="s">
        <v>104</v>
      </c>
      <c r="C25" t="s">
        <v>110</v>
      </c>
      <c r="D25">
        <v>8</v>
      </c>
      <c r="E25">
        <v>10</v>
      </c>
      <c r="F25">
        <v>12</v>
      </c>
      <c r="G25">
        <v>1</v>
      </c>
      <c r="H25" t="s">
        <v>106</v>
      </c>
      <c r="I25" t="s">
        <v>107</v>
      </c>
    </row>
    <row r="26" spans="1:9" x14ac:dyDescent="0.25">
      <c r="A26" t="str">
        <f t="shared" si="0"/>
        <v>TY_SD_FTW-(7x7_Base)</v>
      </c>
      <c r="B26" t="s">
        <v>104</v>
      </c>
      <c r="C26" t="s">
        <v>111</v>
      </c>
      <c r="D26">
        <v>8</v>
      </c>
      <c r="E26">
        <v>12</v>
      </c>
      <c r="F26">
        <v>12</v>
      </c>
      <c r="G26">
        <v>1</v>
      </c>
      <c r="H26" t="s">
        <v>106</v>
      </c>
      <c r="I26" t="s">
        <v>107</v>
      </c>
    </row>
    <row r="27" spans="1:9" x14ac:dyDescent="0.25">
      <c r="A27" t="str">
        <f t="shared" si="0"/>
        <v>TY_SD_FTW-(8x3_Base)</v>
      </c>
      <c r="B27" t="s">
        <v>104</v>
      </c>
      <c r="C27" t="s">
        <v>112</v>
      </c>
      <c r="D27">
        <v>10</v>
      </c>
      <c r="E27">
        <v>10</v>
      </c>
      <c r="F27">
        <v>12</v>
      </c>
      <c r="G27">
        <v>1</v>
      </c>
      <c r="H27" t="s">
        <v>106</v>
      </c>
      <c r="I27" t="s">
        <v>107</v>
      </c>
    </row>
    <row r="28" spans="1:9" x14ac:dyDescent="0.25">
      <c r="A28" t="str">
        <f t="shared" si="0"/>
        <v>TY_SD_FTW-(8x4_Base)</v>
      </c>
      <c r="B28" t="s">
        <v>104</v>
      </c>
      <c r="C28" t="s">
        <v>113</v>
      </c>
      <c r="D28">
        <v>10</v>
      </c>
      <c r="E28">
        <v>10</v>
      </c>
      <c r="F28">
        <v>12</v>
      </c>
      <c r="G28">
        <v>1</v>
      </c>
      <c r="H28" t="s">
        <v>106</v>
      </c>
      <c r="I28" t="s">
        <v>107</v>
      </c>
    </row>
    <row r="29" spans="1:9" x14ac:dyDescent="0.25">
      <c r="A29" t="str">
        <f t="shared" si="0"/>
        <v>TY_SD_FTW-(10x10_Base)</v>
      </c>
      <c r="B29" t="s">
        <v>104</v>
      </c>
      <c r="C29" t="s">
        <v>114</v>
      </c>
      <c r="D29">
        <v>12</v>
      </c>
      <c r="E29">
        <v>14</v>
      </c>
      <c r="F29">
        <v>14</v>
      </c>
      <c r="G29">
        <v>1</v>
      </c>
      <c r="H29" t="s">
        <v>115</v>
      </c>
      <c r="I29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2EFF-CDA6-431C-80F0-AFB8AA520A45}">
  <dimension ref="A1:K75"/>
  <sheetViews>
    <sheetView tabSelected="1" topLeftCell="A37" workbookViewId="0">
      <selection sqref="A1:K75"/>
    </sheetView>
  </sheetViews>
  <sheetFormatPr defaultRowHeight="15" x14ac:dyDescent="0.25"/>
  <cols>
    <col min="1" max="1" width="14.140625" bestFit="1" customWidth="1"/>
    <col min="2" max="2" width="14.28515625" bestFit="1" customWidth="1"/>
    <col min="3" max="3" width="8.28515625" bestFit="1" customWidth="1"/>
    <col min="4" max="4" width="9" bestFit="1" customWidth="1"/>
    <col min="5" max="5" width="16.85546875" bestFit="1" customWidth="1"/>
    <col min="6" max="6" width="17.28515625" bestFit="1" customWidth="1"/>
    <col min="7" max="7" width="17.85546875" bestFit="1" customWidth="1"/>
    <col min="8" max="8" width="17" bestFit="1" customWidth="1"/>
    <col min="9" max="9" width="20.140625" bestFit="1" customWidth="1"/>
    <col min="10" max="10" width="38.85546875" bestFit="1" customWidth="1"/>
    <col min="11" max="11" width="19.5703125" bestFit="1" customWidth="1"/>
  </cols>
  <sheetData>
    <row r="1" spans="1:11" x14ac:dyDescent="0.25">
      <c r="A1" t="s">
        <v>184</v>
      </c>
      <c r="B1" t="s">
        <v>0</v>
      </c>
      <c r="C1" t="s">
        <v>132</v>
      </c>
      <c r="D1" t="s">
        <v>133</v>
      </c>
      <c r="E1" t="s">
        <v>134</v>
      </c>
      <c r="F1" t="s">
        <v>135</v>
      </c>
      <c r="G1" t="s">
        <v>2</v>
      </c>
      <c r="H1" t="s">
        <v>3</v>
      </c>
      <c r="I1" t="s">
        <v>4</v>
      </c>
      <c r="J1" t="s">
        <v>6</v>
      </c>
      <c r="K1" t="s">
        <v>7</v>
      </c>
    </row>
    <row r="2" spans="1:11" x14ac:dyDescent="0.25">
      <c r="A2" t="str">
        <f>CONCATENATE(B2, "-(",C2,"x",D2,")")</f>
        <v>SCP-3-(3x2)</v>
      </c>
      <c r="B2" t="s">
        <v>123</v>
      </c>
      <c r="C2">
        <v>3</v>
      </c>
      <c r="D2">
        <v>2</v>
      </c>
      <c r="E2">
        <v>1</v>
      </c>
      <c r="F2">
        <v>15</v>
      </c>
      <c r="G2">
        <v>4</v>
      </c>
      <c r="H2">
        <v>4</v>
      </c>
      <c r="I2">
        <v>4</v>
      </c>
      <c r="J2" t="s">
        <v>124</v>
      </c>
      <c r="K2" t="s">
        <v>136</v>
      </c>
    </row>
    <row r="3" spans="1:11" x14ac:dyDescent="0.25">
      <c r="A3" t="str">
        <f t="shared" ref="A3:A66" si="0">CONCATENATE(B3, "-(",C3,"x",D3,")")</f>
        <v>SCP-3-(3x3)</v>
      </c>
      <c r="B3" t="s">
        <v>123</v>
      </c>
      <c r="C3">
        <v>3</v>
      </c>
      <c r="D3">
        <v>3</v>
      </c>
      <c r="E3">
        <v>1</v>
      </c>
      <c r="F3">
        <v>15</v>
      </c>
      <c r="G3">
        <v>4</v>
      </c>
      <c r="H3">
        <v>4</v>
      </c>
      <c r="I3">
        <v>4</v>
      </c>
      <c r="J3" t="s">
        <v>124</v>
      </c>
      <c r="K3" t="s">
        <v>136</v>
      </c>
    </row>
    <row r="4" spans="1:11" x14ac:dyDescent="0.25">
      <c r="A4" t="str">
        <f t="shared" si="0"/>
        <v>SCP-4-(4x2)</v>
      </c>
      <c r="B4" t="s">
        <v>125</v>
      </c>
      <c r="C4">
        <v>4</v>
      </c>
      <c r="D4">
        <v>2</v>
      </c>
      <c r="E4">
        <v>1</v>
      </c>
      <c r="F4">
        <v>15</v>
      </c>
      <c r="G4">
        <v>5</v>
      </c>
      <c r="H4">
        <v>5</v>
      </c>
      <c r="I4">
        <v>5</v>
      </c>
      <c r="J4" t="s">
        <v>124</v>
      </c>
      <c r="K4" t="s">
        <v>137</v>
      </c>
    </row>
    <row r="5" spans="1:11" x14ac:dyDescent="0.25">
      <c r="A5" t="str">
        <f t="shared" si="0"/>
        <v>SCP-4-(4x3)</v>
      </c>
      <c r="B5" t="s">
        <v>125</v>
      </c>
      <c r="C5">
        <v>4</v>
      </c>
      <c r="D5">
        <v>3</v>
      </c>
      <c r="E5">
        <v>1</v>
      </c>
      <c r="F5">
        <v>15</v>
      </c>
      <c r="G5">
        <v>5</v>
      </c>
      <c r="H5">
        <v>5</v>
      </c>
      <c r="I5">
        <v>5</v>
      </c>
      <c r="J5" t="s">
        <v>124</v>
      </c>
      <c r="K5" t="s">
        <v>137</v>
      </c>
    </row>
    <row r="6" spans="1:11" x14ac:dyDescent="0.25">
      <c r="A6" t="str">
        <f t="shared" si="0"/>
        <v>SCP-4-(4x4)</v>
      </c>
      <c r="B6" t="s">
        <v>125</v>
      </c>
      <c r="C6">
        <v>4</v>
      </c>
      <c r="D6">
        <v>4</v>
      </c>
      <c r="E6">
        <v>1</v>
      </c>
      <c r="F6">
        <v>15</v>
      </c>
      <c r="G6">
        <v>5</v>
      </c>
      <c r="H6">
        <v>5</v>
      </c>
      <c r="I6">
        <v>5</v>
      </c>
      <c r="J6" t="s">
        <v>124</v>
      </c>
      <c r="K6" t="s">
        <v>137</v>
      </c>
    </row>
    <row r="7" spans="1:11" x14ac:dyDescent="0.25">
      <c r="A7" t="str">
        <f t="shared" si="0"/>
        <v>SCP-5-(5x2)</v>
      </c>
      <c r="B7" t="s">
        <v>126</v>
      </c>
      <c r="C7">
        <v>5</v>
      </c>
      <c r="D7">
        <v>2</v>
      </c>
      <c r="E7">
        <v>1</v>
      </c>
      <c r="F7">
        <v>15</v>
      </c>
      <c r="G7">
        <v>6</v>
      </c>
      <c r="H7">
        <v>6</v>
      </c>
      <c r="I7">
        <v>6</v>
      </c>
      <c r="J7" t="s">
        <v>124</v>
      </c>
      <c r="K7" t="s">
        <v>138</v>
      </c>
    </row>
    <row r="8" spans="1:11" x14ac:dyDescent="0.25">
      <c r="A8" t="str">
        <f t="shared" si="0"/>
        <v>SCP-5-(5x3)</v>
      </c>
      <c r="B8" t="s">
        <v>126</v>
      </c>
      <c r="C8">
        <v>5</v>
      </c>
      <c r="D8">
        <v>3</v>
      </c>
      <c r="E8">
        <v>1</v>
      </c>
      <c r="F8">
        <v>15</v>
      </c>
      <c r="G8">
        <v>6</v>
      </c>
      <c r="H8">
        <v>6</v>
      </c>
      <c r="I8">
        <v>6</v>
      </c>
      <c r="J8" t="s">
        <v>124</v>
      </c>
      <c r="K8" t="s">
        <v>138</v>
      </c>
    </row>
    <row r="9" spans="1:11" x14ac:dyDescent="0.25">
      <c r="A9" t="str">
        <f t="shared" si="0"/>
        <v>SCP-5-(5x4)</v>
      </c>
      <c r="B9" t="s">
        <v>126</v>
      </c>
      <c r="C9">
        <v>5</v>
      </c>
      <c r="D9">
        <v>4</v>
      </c>
      <c r="E9">
        <v>1</v>
      </c>
      <c r="F9">
        <v>15</v>
      </c>
      <c r="G9">
        <v>6</v>
      </c>
      <c r="H9">
        <v>6</v>
      </c>
      <c r="I9">
        <v>6</v>
      </c>
      <c r="J9" t="s">
        <v>124</v>
      </c>
      <c r="K9" t="s">
        <v>138</v>
      </c>
    </row>
    <row r="10" spans="1:11" x14ac:dyDescent="0.25">
      <c r="A10" t="str">
        <f t="shared" si="0"/>
        <v>SCP-5-(5x5)</v>
      </c>
      <c r="B10" t="s">
        <v>126</v>
      </c>
      <c r="C10">
        <v>5</v>
      </c>
      <c r="D10">
        <v>5</v>
      </c>
      <c r="E10">
        <v>1</v>
      </c>
      <c r="F10">
        <v>15</v>
      </c>
      <c r="G10">
        <v>6</v>
      </c>
      <c r="H10">
        <v>6</v>
      </c>
      <c r="I10">
        <v>6</v>
      </c>
      <c r="J10" t="s">
        <v>124</v>
      </c>
      <c r="K10" t="s">
        <v>138</v>
      </c>
    </row>
    <row r="11" spans="1:11" x14ac:dyDescent="0.25">
      <c r="A11" t="str">
        <f t="shared" si="0"/>
        <v>SCP-6-(6x3)</v>
      </c>
      <c r="B11" t="s">
        <v>127</v>
      </c>
      <c r="C11">
        <v>6</v>
      </c>
      <c r="D11">
        <v>3</v>
      </c>
      <c r="E11">
        <v>1</v>
      </c>
      <c r="F11">
        <v>15</v>
      </c>
      <c r="G11">
        <v>7</v>
      </c>
      <c r="H11">
        <v>7</v>
      </c>
      <c r="I11">
        <v>7</v>
      </c>
      <c r="J11" t="s">
        <v>124</v>
      </c>
      <c r="K11" t="s">
        <v>139</v>
      </c>
    </row>
    <row r="12" spans="1:11" x14ac:dyDescent="0.25">
      <c r="A12" t="str">
        <f t="shared" si="0"/>
        <v>SCP-6-(6x4)</v>
      </c>
      <c r="B12" t="s">
        <v>127</v>
      </c>
      <c r="C12">
        <v>6</v>
      </c>
      <c r="D12">
        <v>4</v>
      </c>
      <c r="E12">
        <v>1</v>
      </c>
      <c r="F12">
        <v>15</v>
      </c>
      <c r="G12">
        <v>7</v>
      </c>
      <c r="H12">
        <v>7</v>
      </c>
      <c r="I12">
        <v>7</v>
      </c>
      <c r="J12" t="s">
        <v>124</v>
      </c>
      <c r="K12" t="s">
        <v>139</v>
      </c>
    </row>
    <row r="13" spans="1:11" x14ac:dyDescent="0.25">
      <c r="A13" t="str">
        <f t="shared" si="0"/>
        <v>SCP-6-(6x5)</v>
      </c>
      <c r="B13" t="s">
        <v>127</v>
      </c>
      <c r="C13">
        <v>6</v>
      </c>
      <c r="D13">
        <v>5</v>
      </c>
      <c r="E13">
        <v>1</v>
      </c>
      <c r="F13">
        <v>15</v>
      </c>
      <c r="G13">
        <v>7</v>
      </c>
      <c r="H13">
        <v>7</v>
      </c>
      <c r="I13">
        <v>7</v>
      </c>
      <c r="J13" t="s">
        <v>124</v>
      </c>
      <c r="K13" t="s">
        <v>139</v>
      </c>
    </row>
    <row r="14" spans="1:11" x14ac:dyDescent="0.25">
      <c r="A14" t="str">
        <f t="shared" si="0"/>
        <v>SCP-6-(6x6)</v>
      </c>
      <c r="B14" t="s">
        <v>127</v>
      </c>
      <c r="C14">
        <v>6</v>
      </c>
      <c r="D14">
        <v>6</v>
      </c>
      <c r="E14">
        <v>1</v>
      </c>
      <c r="F14">
        <v>15</v>
      </c>
      <c r="G14">
        <v>7</v>
      </c>
      <c r="H14">
        <v>7</v>
      </c>
      <c r="I14">
        <v>7</v>
      </c>
      <c r="J14" t="s">
        <v>124</v>
      </c>
      <c r="K14" t="s">
        <v>139</v>
      </c>
    </row>
    <row r="15" spans="1:11" x14ac:dyDescent="0.25">
      <c r="A15" t="str">
        <f t="shared" si="0"/>
        <v>SCP-7-(7x4)</v>
      </c>
      <c r="B15" t="s">
        <v>128</v>
      </c>
      <c r="C15">
        <v>7</v>
      </c>
      <c r="D15">
        <v>4</v>
      </c>
      <c r="E15">
        <v>1</v>
      </c>
      <c r="F15">
        <v>15</v>
      </c>
      <c r="G15">
        <v>8</v>
      </c>
      <c r="H15">
        <v>8</v>
      </c>
      <c r="I15">
        <v>8</v>
      </c>
      <c r="J15" t="s">
        <v>124</v>
      </c>
      <c r="K15" t="s">
        <v>140</v>
      </c>
    </row>
    <row r="16" spans="1:11" x14ac:dyDescent="0.25">
      <c r="A16" t="str">
        <f t="shared" si="0"/>
        <v>SCP-7-(7x5)</v>
      </c>
      <c r="B16" t="s">
        <v>128</v>
      </c>
      <c r="C16">
        <v>7</v>
      </c>
      <c r="D16">
        <v>5</v>
      </c>
      <c r="E16">
        <v>1</v>
      </c>
      <c r="F16">
        <v>15</v>
      </c>
      <c r="G16">
        <v>8</v>
      </c>
      <c r="H16">
        <v>8</v>
      </c>
      <c r="I16">
        <v>8</v>
      </c>
      <c r="J16" t="s">
        <v>124</v>
      </c>
      <c r="K16" t="s">
        <v>140</v>
      </c>
    </row>
    <row r="17" spans="1:11" x14ac:dyDescent="0.25">
      <c r="A17" t="str">
        <f t="shared" si="0"/>
        <v>SCP-7-(7x6)</v>
      </c>
      <c r="B17" t="s">
        <v>128</v>
      </c>
      <c r="C17">
        <v>7</v>
      </c>
      <c r="D17">
        <v>6</v>
      </c>
      <c r="E17">
        <v>1</v>
      </c>
      <c r="F17">
        <v>15</v>
      </c>
      <c r="G17">
        <v>8</v>
      </c>
      <c r="H17">
        <v>8</v>
      </c>
      <c r="I17">
        <v>8</v>
      </c>
      <c r="J17" t="s">
        <v>124</v>
      </c>
      <c r="K17" t="s">
        <v>140</v>
      </c>
    </row>
    <row r="18" spans="1:11" x14ac:dyDescent="0.25">
      <c r="A18" t="str">
        <f t="shared" si="0"/>
        <v>SCP-7-(7x7)</v>
      </c>
      <c r="B18" t="s">
        <v>128</v>
      </c>
      <c r="C18">
        <v>7</v>
      </c>
      <c r="D18">
        <v>7</v>
      </c>
      <c r="E18">
        <v>1</v>
      </c>
      <c r="F18">
        <v>15</v>
      </c>
      <c r="G18">
        <v>8</v>
      </c>
      <c r="H18">
        <v>8</v>
      </c>
      <c r="I18">
        <v>8</v>
      </c>
      <c r="J18" t="s">
        <v>124</v>
      </c>
      <c r="K18" t="s">
        <v>140</v>
      </c>
    </row>
    <row r="19" spans="1:11" x14ac:dyDescent="0.25">
      <c r="A19" t="str">
        <f t="shared" si="0"/>
        <v>SCP-8-(8x4)</v>
      </c>
      <c r="B19" t="s">
        <v>129</v>
      </c>
      <c r="C19">
        <v>8</v>
      </c>
      <c r="D19">
        <v>4</v>
      </c>
      <c r="E19">
        <v>1</v>
      </c>
      <c r="F19">
        <v>15</v>
      </c>
      <c r="G19">
        <v>8</v>
      </c>
      <c r="H19">
        <v>8</v>
      </c>
      <c r="I19">
        <v>8</v>
      </c>
      <c r="J19" t="s">
        <v>124</v>
      </c>
      <c r="K19" t="s">
        <v>141</v>
      </c>
    </row>
    <row r="20" spans="1:11" x14ac:dyDescent="0.25">
      <c r="A20" t="str">
        <f t="shared" si="0"/>
        <v>SCP-8-(8x5)</v>
      </c>
      <c r="B20" t="s">
        <v>129</v>
      </c>
      <c r="C20">
        <v>8</v>
      </c>
      <c r="D20">
        <v>5</v>
      </c>
      <c r="E20">
        <v>1</v>
      </c>
      <c r="F20">
        <v>15</v>
      </c>
      <c r="G20">
        <v>8</v>
      </c>
      <c r="H20">
        <v>8</v>
      </c>
      <c r="I20">
        <v>8</v>
      </c>
      <c r="J20" t="s">
        <v>124</v>
      </c>
      <c r="K20" t="s">
        <v>141</v>
      </c>
    </row>
    <row r="21" spans="1:11" x14ac:dyDescent="0.25">
      <c r="A21" t="str">
        <f t="shared" si="0"/>
        <v>SCP-8-(8x6)</v>
      </c>
      <c r="B21" t="s">
        <v>129</v>
      </c>
      <c r="C21">
        <v>8</v>
      </c>
      <c r="D21">
        <v>6</v>
      </c>
      <c r="E21">
        <v>1</v>
      </c>
      <c r="F21">
        <v>15</v>
      </c>
      <c r="G21">
        <v>8</v>
      </c>
      <c r="H21">
        <v>8</v>
      </c>
      <c r="I21">
        <v>8</v>
      </c>
      <c r="J21" t="s">
        <v>124</v>
      </c>
      <c r="K21" t="s">
        <v>141</v>
      </c>
    </row>
    <row r="22" spans="1:11" x14ac:dyDescent="0.25">
      <c r="A22" t="str">
        <f t="shared" si="0"/>
        <v>SCP-8-(8x7)</v>
      </c>
      <c r="B22" t="s">
        <v>129</v>
      </c>
      <c r="C22">
        <v>8</v>
      </c>
      <c r="D22">
        <v>7</v>
      </c>
      <c r="E22">
        <v>1</v>
      </c>
      <c r="F22">
        <v>15</v>
      </c>
      <c r="G22">
        <v>8</v>
      </c>
      <c r="H22">
        <v>8</v>
      </c>
      <c r="I22">
        <v>8</v>
      </c>
      <c r="J22" t="s">
        <v>124</v>
      </c>
      <c r="K22" t="s">
        <v>141</v>
      </c>
    </row>
    <row r="23" spans="1:11" x14ac:dyDescent="0.25">
      <c r="A23" t="str">
        <f t="shared" si="0"/>
        <v>SCP-8-(8x8)</v>
      </c>
      <c r="B23" t="s">
        <v>129</v>
      </c>
      <c r="C23">
        <v>8</v>
      </c>
      <c r="D23">
        <v>8</v>
      </c>
      <c r="E23">
        <v>1</v>
      </c>
      <c r="F23">
        <v>15</v>
      </c>
      <c r="G23">
        <v>8</v>
      </c>
      <c r="H23">
        <v>8</v>
      </c>
      <c r="I23">
        <v>8</v>
      </c>
      <c r="J23" t="s">
        <v>124</v>
      </c>
      <c r="K23" t="s">
        <v>141</v>
      </c>
    </row>
    <row r="24" spans="1:11" x14ac:dyDescent="0.25">
      <c r="A24" t="str">
        <f t="shared" si="0"/>
        <v>SCP-9-(9x5)</v>
      </c>
      <c r="B24" t="s">
        <v>142</v>
      </c>
      <c r="C24">
        <v>9</v>
      </c>
      <c r="D24">
        <v>5</v>
      </c>
      <c r="E24">
        <v>1</v>
      </c>
      <c r="F24">
        <v>15</v>
      </c>
      <c r="G24">
        <v>9</v>
      </c>
      <c r="H24">
        <v>9</v>
      </c>
      <c r="I24">
        <v>9</v>
      </c>
      <c r="J24" t="s">
        <v>124</v>
      </c>
      <c r="K24" t="s">
        <v>143</v>
      </c>
    </row>
    <row r="25" spans="1:11" x14ac:dyDescent="0.25">
      <c r="A25" t="str">
        <f t="shared" si="0"/>
        <v>SCP-9-(9x6)</v>
      </c>
      <c r="B25" t="s">
        <v>142</v>
      </c>
      <c r="C25">
        <v>9</v>
      </c>
      <c r="D25">
        <v>6</v>
      </c>
      <c r="E25">
        <v>1</v>
      </c>
      <c r="F25">
        <v>15</v>
      </c>
      <c r="G25">
        <v>9</v>
      </c>
      <c r="H25">
        <v>9</v>
      </c>
      <c r="I25">
        <v>9</v>
      </c>
      <c r="J25" t="s">
        <v>124</v>
      </c>
      <c r="K25" t="s">
        <v>143</v>
      </c>
    </row>
    <row r="26" spans="1:11" x14ac:dyDescent="0.25">
      <c r="A26" t="str">
        <f t="shared" si="0"/>
        <v>SCP-9-(9x7)</v>
      </c>
      <c r="B26" t="s">
        <v>142</v>
      </c>
      <c r="C26">
        <v>9</v>
      </c>
      <c r="D26">
        <v>7</v>
      </c>
      <c r="E26">
        <v>1</v>
      </c>
      <c r="F26">
        <v>15</v>
      </c>
      <c r="G26">
        <v>9</v>
      </c>
      <c r="H26">
        <v>9</v>
      </c>
      <c r="I26">
        <v>9</v>
      </c>
      <c r="J26" t="s">
        <v>124</v>
      </c>
      <c r="K26" t="s">
        <v>143</v>
      </c>
    </row>
    <row r="27" spans="1:11" x14ac:dyDescent="0.25">
      <c r="A27" t="str">
        <f t="shared" si="0"/>
        <v>SCP-9-(9x8)</v>
      </c>
      <c r="B27" t="s">
        <v>142</v>
      </c>
      <c r="C27">
        <v>9</v>
      </c>
      <c r="D27">
        <v>8</v>
      </c>
      <c r="E27">
        <v>1</v>
      </c>
      <c r="F27">
        <v>15</v>
      </c>
      <c r="G27">
        <v>9</v>
      </c>
      <c r="H27">
        <v>9</v>
      </c>
      <c r="I27">
        <v>9</v>
      </c>
      <c r="J27" t="s">
        <v>124</v>
      </c>
      <c r="K27" t="s">
        <v>143</v>
      </c>
    </row>
    <row r="28" spans="1:11" x14ac:dyDescent="0.25">
      <c r="A28" t="str">
        <f t="shared" si="0"/>
        <v>SCP-9-(9x9)</v>
      </c>
      <c r="B28" t="s">
        <v>142</v>
      </c>
      <c r="C28">
        <v>9</v>
      </c>
      <c r="D28">
        <v>9</v>
      </c>
      <c r="E28">
        <v>1</v>
      </c>
      <c r="F28">
        <v>15</v>
      </c>
      <c r="G28">
        <v>9</v>
      </c>
      <c r="H28">
        <v>9</v>
      </c>
      <c r="I28">
        <v>9</v>
      </c>
      <c r="J28" t="s">
        <v>124</v>
      </c>
      <c r="K28" t="s">
        <v>143</v>
      </c>
    </row>
    <row r="29" spans="1:11" x14ac:dyDescent="0.25">
      <c r="A29" t="str">
        <f t="shared" si="0"/>
        <v>SCP-10-(10x4)</v>
      </c>
      <c r="B29" t="s">
        <v>130</v>
      </c>
      <c r="C29">
        <v>10</v>
      </c>
      <c r="D29">
        <v>4</v>
      </c>
      <c r="E29">
        <v>1</v>
      </c>
      <c r="F29">
        <v>15</v>
      </c>
      <c r="G29">
        <v>10</v>
      </c>
      <c r="H29">
        <v>10</v>
      </c>
      <c r="I29">
        <v>10</v>
      </c>
      <c r="J29" t="s">
        <v>124</v>
      </c>
      <c r="K29" t="s">
        <v>144</v>
      </c>
    </row>
    <row r="30" spans="1:11" x14ac:dyDescent="0.25">
      <c r="A30" t="str">
        <f t="shared" si="0"/>
        <v>SCP-10-(10x5)</v>
      </c>
      <c r="B30" t="s">
        <v>130</v>
      </c>
      <c r="C30">
        <v>10</v>
      </c>
      <c r="D30">
        <v>5</v>
      </c>
      <c r="E30">
        <v>1</v>
      </c>
      <c r="F30">
        <v>15</v>
      </c>
      <c r="G30">
        <v>10</v>
      </c>
      <c r="H30">
        <v>10</v>
      </c>
      <c r="I30">
        <v>10</v>
      </c>
      <c r="J30" t="s">
        <v>124</v>
      </c>
      <c r="K30" t="s">
        <v>144</v>
      </c>
    </row>
    <row r="31" spans="1:11" x14ac:dyDescent="0.25">
      <c r="A31" t="str">
        <f t="shared" si="0"/>
        <v>SCP-10-(10x6)</v>
      </c>
      <c r="B31" t="s">
        <v>130</v>
      </c>
      <c r="C31">
        <v>10</v>
      </c>
      <c r="D31">
        <v>6</v>
      </c>
      <c r="E31">
        <v>1</v>
      </c>
      <c r="F31">
        <v>15</v>
      </c>
      <c r="G31">
        <v>10</v>
      </c>
      <c r="H31">
        <v>10</v>
      </c>
      <c r="I31">
        <v>10</v>
      </c>
      <c r="J31" t="s">
        <v>124</v>
      </c>
      <c r="K31" t="s">
        <v>144</v>
      </c>
    </row>
    <row r="32" spans="1:11" x14ac:dyDescent="0.25">
      <c r="A32" t="str">
        <f t="shared" si="0"/>
        <v>SCP-10-(10x7)</v>
      </c>
      <c r="B32" t="s">
        <v>130</v>
      </c>
      <c r="C32">
        <v>10</v>
      </c>
      <c r="D32">
        <v>7</v>
      </c>
      <c r="E32">
        <v>1</v>
      </c>
      <c r="F32">
        <v>15</v>
      </c>
      <c r="G32">
        <v>10</v>
      </c>
      <c r="H32">
        <v>10</v>
      </c>
      <c r="I32">
        <v>10</v>
      </c>
      <c r="J32" t="s">
        <v>124</v>
      </c>
      <c r="K32" t="s">
        <v>144</v>
      </c>
    </row>
    <row r="33" spans="1:11" x14ac:dyDescent="0.25">
      <c r="A33" t="str">
        <f t="shared" si="0"/>
        <v>SCP-10-(10x8)</v>
      </c>
      <c r="B33" t="s">
        <v>130</v>
      </c>
      <c r="C33">
        <v>10</v>
      </c>
      <c r="D33">
        <v>8</v>
      </c>
      <c r="E33">
        <v>1</v>
      </c>
      <c r="F33">
        <v>15</v>
      </c>
      <c r="G33">
        <v>10</v>
      </c>
      <c r="H33">
        <v>10</v>
      </c>
      <c r="I33">
        <v>10</v>
      </c>
      <c r="J33" t="s">
        <v>124</v>
      </c>
      <c r="K33" t="s">
        <v>144</v>
      </c>
    </row>
    <row r="34" spans="1:11" x14ac:dyDescent="0.25">
      <c r="A34" t="str">
        <f t="shared" si="0"/>
        <v>SCP-10-(10x9)</v>
      </c>
      <c r="B34" t="s">
        <v>130</v>
      </c>
      <c r="C34">
        <v>10</v>
      </c>
      <c r="D34">
        <v>9</v>
      </c>
      <c r="E34">
        <v>1</v>
      </c>
      <c r="F34">
        <v>15</v>
      </c>
      <c r="G34">
        <v>10</v>
      </c>
      <c r="H34">
        <v>10</v>
      </c>
      <c r="I34">
        <v>10</v>
      </c>
      <c r="J34" t="s">
        <v>124</v>
      </c>
      <c r="K34" t="s">
        <v>144</v>
      </c>
    </row>
    <row r="35" spans="1:11" x14ac:dyDescent="0.25">
      <c r="A35" t="str">
        <f t="shared" si="0"/>
        <v>SCP-10-(10x10)</v>
      </c>
      <c r="B35" t="s">
        <v>130</v>
      </c>
      <c r="C35">
        <v>10</v>
      </c>
      <c r="D35">
        <v>10</v>
      </c>
      <c r="E35">
        <v>1</v>
      </c>
      <c r="F35">
        <v>15</v>
      </c>
      <c r="G35">
        <v>10</v>
      </c>
      <c r="H35">
        <v>10</v>
      </c>
      <c r="I35">
        <v>10</v>
      </c>
      <c r="J35" t="s">
        <v>124</v>
      </c>
      <c r="K35" t="s">
        <v>144</v>
      </c>
    </row>
    <row r="36" spans="1:11" x14ac:dyDescent="0.25">
      <c r="A36" t="str">
        <f t="shared" si="0"/>
        <v>SCP-11-(11x6)</v>
      </c>
      <c r="B36" t="s">
        <v>145</v>
      </c>
      <c r="C36">
        <v>11</v>
      </c>
      <c r="D36">
        <v>6</v>
      </c>
      <c r="E36">
        <v>1</v>
      </c>
      <c r="F36">
        <v>15</v>
      </c>
      <c r="G36">
        <v>11</v>
      </c>
      <c r="H36">
        <v>11</v>
      </c>
      <c r="I36">
        <v>11</v>
      </c>
      <c r="J36" t="s">
        <v>124</v>
      </c>
      <c r="K36" t="s">
        <v>146</v>
      </c>
    </row>
    <row r="37" spans="1:11" x14ac:dyDescent="0.25">
      <c r="A37" t="str">
        <f t="shared" si="0"/>
        <v>SCP-11-(11x8)</v>
      </c>
      <c r="B37" t="s">
        <v>145</v>
      </c>
      <c r="C37">
        <v>11</v>
      </c>
      <c r="D37">
        <v>8</v>
      </c>
      <c r="E37">
        <v>1</v>
      </c>
      <c r="F37">
        <v>15</v>
      </c>
      <c r="G37">
        <v>11</v>
      </c>
      <c r="H37">
        <v>11</v>
      </c>
      <c r="I37">
        <v>11</v>
      </c>
      <c r="J37" t="s">
        <v>124</v>
      </c>
      <c r="K37" t="s">
        <v>146</v>
      </c>
    </row>
    <row r="38" spans="1:11" x14ac:dyDescent="0.25">
      <c r="A38" t="str">
        <f t="shared" si="0"/>
        <v>SCP-11-(11x10)</v>
      </c>
      <c r="B38" t="s">
        <v>145</v>
      </c>
      <c r="C38">
        <v>11</v>
      </c>
      <c r="D38">
        <v>10</v>
      </c>
      <c r="E38">
        <v>1</v>
      </c>
      <c r="F38">
        <v>15</v>
      </c>
      <c r="G38">
        <v>11</v>
      </c>
      <c r="H38">
        <v>11</v>
      </c>
      <c r="I38">
        <v>11</v>
      </c>
      <c r="J38" t="s">
        <v>124</v>
      </c>
      <c r="K38" t="s">
        <v>146</v>
      </c>
    </row>
    <row r="39" spans="1:11" x14ac:dyDescent="0.25">
      <c r="A39" t="str">
        <f t="shared" si="0"/>
        <v>SCP-11-(11x11)</v>
      </c>
      <c r="B39" t="s">
        <v>145</v>
      </c>
      <c r="C39">
        <v>11</v>
      </c>
      <c r="D39">
        <v>11</v>
      </c>
      <c r="E39">
        <v>1</v>
      </c>
      <c r="F39">
        <v>15</v>
      </c>
      <c r="G39">
        <v>11</v>
      </c>
      <c r="H39">
        <v>11</v>
      </c>
      <c r="I39">
        <v>11</v>
      </c>
      <c r="J39" t="s">
        <v>124</v>
      </c>
      <c r="K39" t="s">
        <v>146</v>
      </c>
    </row>
    <row r="40" spans="1:11" x14ac:dyDescent="0.25">
      <c r="A40" t="str">
        <f t="shared" si="0"/>
        <v>SCP-12-(12x4)</v>
      </c>
      <c r="B40" t="s">
        <v>131</v>
      </c>
      <c r="C40">
        <v>12</v>
      </c>
      <c r="D40">
        <v>4</v>
      </c>
      <c r="E40">
        <v>1</v>
      </c>
      <c r="F40">
        <v>15</v>
      </c>
      <c r="G40">
        <v>12</v>
      </c>
      <c r="H40">
        <v>12</v>
      </c>
      <c r="I40">
        <v>12</v>
      </c>
      <c r="J40" t="s">
        <v>124</v>
      </c>
      <c r="K40" t="s">
        <v>147</v>
      </c>
    </row>
    <row r="41" spans="1:11" x14ac:dyDescent="0.25">
      <c r="A41" t="str">
        <f t="shared" si="0"/>
        <v>SCP-12-(12x6)</v>
      </c>
      <c r="B41" t="s">
        <v>131</v>
      </c>
      <c r="C41">
        <v>12</v>
      </c>
      <c r="D41">
        <v>6</v>
      </c>
      <c r="E41">
        <v>1</v>
      </c>
      <c r="F41">
        <v>15</v>
      </c>
      <c r="G41">
        <v>12</v>
      </c>
      <c r="H41">
        <v>12</v>
      </c>
      <c r="I41">
        <v>12</v>
      </c>
      <c r="J41" t="s">
        <v>124</v>
      </c>
      <c r="K41" t="s">
        <v>147</v>
      </c>
    </row>
    <row r="42" spans="1:11" x14ac:dyDescent="0.25">
      <c r="A42" t="str">
        <f t="shared" si="0"/>
        <v>SCP-12-(12x8)</v>
      </c>
      <c r="B42" t="s">
        <v>131</v>
      </c>
      <c r="C42">
        <v>12</v>
      </c>
      <c r="D42">
        <v>8</v>
      </c>
      <c r="E42">
        <v>1</v>
      </c>
      <c r="F42">
        <v>15</v>
      </c>
      <c r="G42">
        <v>12</v>
      </c>
      <c r="H42">
        <v>12</v>
      </c>
      <c r="I42">
        <v>12</v>
      </c>
      <c r="J42" t="s">
        <v>124</v>
      </c>
      <c r="K42" t="s">
        <v>147</v>
      </c>
    </row>
    <row r="43" spans="1:11" x14ac:dyDescent="0.25">
      <c r="A43" t="str">
        <f t="shared" si="0"/>
        <v>SCP-12-(12x10)</v>
      </c>
      <c r="B43" t="s">
        <v>131</v>
      </c>
      <c r="C43">
        <v>12</v>
      </c>
      <c r="D43">
        <v>10</v>
      </c>
      <c r="E43">
        <v>1</v>
      </c>
      <c r="F43">
        <v>15</v>
      </c>
      <c r="G43">
        <v>12</v>
      </c>
      <c r="H43">
        <v>12</v>
      </c>
      <c r="I43">
        <v>12</v>
      </c>
      <c r="J43" t="s">
        <v>124</v>
      </c>
      <c r="K43" t="s">
        <v>147</v>
      </c>
    </row>
    <row r="44" spans="1:11" x14ac:dyDescent="0.25">
      <c r="A44" t="str">
        <f t="shared" si="0"/>
        <v>SCP-12-(12x12)</v>
      </c>
      <c r="B44" t="s">
        <v>131</v>
      </c>
      <c r="C44">
        <v>12</v>
      </c>
      <c r="D44">
        <v>12</v>
      </c>
      <c r="E44">
        <v>1</v>
      </c>
      <c r="F44">
        <v>15</v>
      </c>
      <c r="G44">
        <v>12</v>
      </c>
      <c r="H44">
        <v>12</v>
      </c>
      <c r="I44">
        <v>12</v>
      </c>
      <c r="J44" t="s">
        <v>124</v>
      </c>
      <c r="K44" t="s">
        <v>147</v>
      </c>
    </row>
    <row r="45" spans="1:11" x14ac:dyDescent="0.25">
      <c r="A45" t="str">
        <f t="shared" si="0"/>
        <v>MC-3-(3x2)</v>
      </c>
      <c r="B45" t="s">
        <v>116</v>
      </c>
      <c r="C45">
        <v>3</v>
      </c>
      <c r="D45">
        <v>2</v>
      </c>
      <c r="E45">
        <v>0</v>
      </c>
      <c r="F45">
        <v>23</v>
      </c>
      <c r="G45">
        <v>8</v>
      </c>
      <c r="H45">
        <v>8</v>
      </c>
      <c r="I45">
        <v>9</v>
      </c>
      <c r="J45" t="s">
        <v>148</v>
      </c>
      <c r="K45" t="s">
        <v>149</v>
      </c>
    </row>
    <row r="46" spans="1:11" x14ac:dyDescent="0.25">
      <c r="A46" t="str">
        <f t="shared" si="0"/>
        <v>MC-3-(3x3)</v>
      </c>
      <c r="B46" t="s">
        <v>116</v>
      </c>
      <c r="C46">
        <v>3</v>
      </c>
      <c r="D46">
        <v>3</v>
      </c>
      <c r="E46">
        <v>0</v>
      </c>
      <c r="F46">
        <v>23</v>
      </c>
      <c r="G46">
        <v>8</v>
      </c>
      <c r="H46">
        <v>8</v>
      </c>
      <c r="I46">
        <v>9</v>
      </c>
      <c r="J46" t="s">
        <v>150</v>
      </c>
      <c r="K46" t="s">
        <v>149</v>
      </c>
    </row>
    <row r="47" spans="1:11" x14ac:dyDescent="0.25">
      <c r="A47" t="str">
        <f t="shared" si="0"/>
        <v>MC-4-(4x2)</v>
      </c>
      <c r="B47" t="s">
        <v>117</v>
      </c>
      <c r="C47">
        <v>4</v>
      </c>
      <c r="D47">
        <v>2</v>
      </c>
      <c r="E47">
        <v>0</v>
      </c>
      <c r="F47">
        <v>23</v>
      </c>
      <c r="G47">
        <v>8</v>
      </c>
      <c r="H47">
        <v>8</v>
      </c>
      <c r="I47">
        <v>9</v>
      </c>
      <c r="J47" t="s">
        <v>151</v>
      </c>
      <c r="K47" t="s">
        <v>152</v>
      </c>
    </row>
    <row r="48" spans="1:11" x14ac:dyDescent="0.25">
      <c r="A48" t="str">
        <f t="shared" si="0"/>
        <v>MC-4-(4x3)</v>
      </c>
      <c r="B48" t="s">
        <v>117</v>
      </c>
      <c r="C48">
        <v>4</v>
      </c>
      <c r="D48">
        <v>3</v>
      </c>
      <c r="E48">
        <v>0</v>
      </c>
      <c r="F48">
        <v>23</v>
      </c>
      <c r="G48">
        <v>8</v>
      </c>
      <c r="H48">
        <v>8</v>
      </c>
      <c r="I48">
        <v>9</v>
      </c>
      <c r="J48" t="s">
        <v>153</v>
      </c>
      <c r="K48" t="s">
        <v>152</v>
      </c>
    </row>
    <row r="49" spans="1:11" x14ac:dyDescent="0.25">
      <c r="A49" t="str">
        <f t="shared" si="0"/>
        <v>MC-4-(4x4)</v>
      </c>
      <c r="B49" t="s">
        <v>117</v>
      </c>
      <c r="C49">
        <v>4</v>
      </c>
      <c r="D49">
        <v>4</v>
      </c>
      <c r="E49">
        <v>0</v>
      </c>
      <c r="F49">
        <v>23</v>
      </c>
      <c r="G49">
        <v>8</v>
      </c>
      <c r="H49">
        <v>8</v>
      </c>
      <c r="I49">
        <v>9</v>
      </c>
      <c r="J49" t="s">
        <v>154</v>
      </c>
      <c r="K49" t="s">
        <v>152</v>
      </c>
    </row>
    <row r="50" spans="1:11" x14ac:dyDescent="0.25">
      <c r="A50" t="str">
        <f t="shared" si="0"/>
        <v>MC-5-(5x3)</v>
      </c>
      <c r="B50" t="s">
        <v>118</v>
      </c>
      <c r="C50">
        <v>5</v>
      </c>
      <c r="D50">
        <v>3</v>
      </c>
      <c r="E50">
        <v>0</v>
      </c>
      <c r="F50">
        <v>15</v>
      </c>
      <c r="G50">
        <v>8</v>
      </c>
      <c r="H50">
        <v>8</v>
      </c>
      <c r="I50">
        <v>9.5</v>
      </c>
      <c r="J50" t="s">
        <v>155</v>
      </c>
      <c r="K50" t="s">
        <v>156</v>
      </c>
    </row>
    <row r="51" spans="1:11" x14ac:dyDescent="0.25">
      <c r="A51" t="str">
        <f t="shared" si="0"/>
        <v>MC-5-(5x4)</v>
      </c>
      <c r="B51" t="s">
        <v>118</v>
      </c>
      <c r="C51">
        <v>5</v>
      </c>
      <c r="D51">
        <v>4</v>
      </c>
      <c r="E51">
        <v>0</v>
      </c>
      <c r="F51">
        <v>15</v>
      </c>
      <c r="G51">
        <v>8</v>
      </c>
      <c r="H51">
        <v>8</v>
      </c>
      <c r="I51">
        <v>9.5</v>
      </c>
      <c r="J51" t="s">
        <v>155</v>
      </c>
      <c r="K51" t="s">
        <v>156</v>
      </c>
    </row>
    <row r="52" spans="1:11" x14ac:dyDescent="0.25">
      <c r="A52" t="str">
        <f t="shared" si="0"/>
        <v>MC-5-(5x5)</v>
      </c>
      <c r="B52" t="s">
        <v>118</v>
      </c>
      <c r="C52">
        <v>5</v>
      </c>
      <c r="D52">
        <v>5</v>
      </c>
      <c r="E52">
        <v>0</v>
      </c>
      <c r="F52">
        <v>15</v>
      </c>
      <c r="G52">
        <v>8</v>
      </c>
      <c r="H52">
        <v>8</v>
      </c>
      <c r="I52">
        <v>9.5</v>
      </c>
      <c r="J52" t="s">
        <v>155</v>
      </c>
      <c r="K52" t="s">
        <v>156</v>
      </c>
    </row>
    <row r="53" spans="1:11" x14ac:dyDescent="0.25">
      <c r="A53" t="str">
        <f t="shared" si="0"/>
        <v>MC-5-(5x5)</v>
      </c>
      <c r="B53" t="s">
        <v>118</v>
      </c>
      <c r="C53">
        <v>5</v>
      </c>
      <c r="D53">
        <v>5</v>
      </c>
      <c r="E53">
        <v>16</v>
      </c>
      <c r="F53">
        <v>23</v>
      </c>
      <c r="G53">
        <v>8.5</v>
      </c>
      <c r="H53">
        <v>8.5</v>
      </c>
      <c r="I53">
        <v>10</v>
      </c>
      <c r="J53" t="s">
        <v>157</v>
      </c>
      <c r="K53" t="s">
        <v>158</v>
      </c>
    </row>
    <row r="54" spans="1:11" x14ac:dyDescent="0.25">
      <c r="A54" t="str">
        <f t="shared" si="0"/>
        <v>MC-6-(6x4)</v>
      </c>
      <c r="B54" t="s">
        <v>119</v>
      </c>
      <c r="C54">
        <v>6</v>
      </c>
      <c r="D54">
        <v>4</v>
      </c>
      <c r="E54">
        <v>0</v>
      </c>
      <c r="F54">
        <v>16</v>
      </c>
      <c r="G54">
        <v>8</v>
      </c>
      <c r="H54">
        <v>8</v>
      </c>
      <c r="I54">
        <v>9.5</v>
      </c>
      <c r="J54" t="s">
        <v>159</v>
      </c>
      <c r="K54" t="s">
        <v>160</v>
      </c>
    </row>
    <row r="55" spans="1:11" x14ac:dyDescent="0.25">
      <c r="A55" t="str">
        <f t="shared" si="0"/>
        <v>MC-6-(6x5)</v>
      </c>
      <c r="B55" t="s">
        <v>119</v>
      </c>
      <c r="C55">
        <v>6</v>
      </c>
      <c r="D55">
        <v>5</v>
      </c>
      <c r="E55">
        <v>0</v>
      </c>
      <c r="F55">
        <v>16</v>
      </c>
      <c r="G55">
        <v>8</v>
      </c>
      <c r="H55">
        <v>8</v>
      </c>
      <c r="I55">
        <v>9.5</v>
      </c>
      <c r="J55" t="s">
        <v>159</v>
      </c>
      <c r="K55" t="s">
        <v>160</v>
      </c>
    </row>
    <row r="56" spans="1:11" x14ac:dyDescent="0.25">
      <c r="A56" t="str">
        <f t="shared" si="0"/>
        <v>MC-6-(6x6)</v>
      </c>
      <c r="B56" t="s">
        <v>119</v>
      </c>
      <c r="C56">
        <v>6</v>
      </c>
      <c r="D56">
        <v>6</v>
      </c>
      <c r="E56">
        <v>0</v>
      </c>
      <c r="F56">
        <v>16</v>
      </c>
      <c r="G56">
        <v>8</v>
      </c>
      <c r="H56">
        <v>8</v>
      </c>
      <c r="I56">
        <v>9.5</v>
      </c>
      <c r="J56" t="s">
        <v>159</v>
      </c>
      <c r="K56" t="s">
        <v>160</v>
      </c>
    </row>
    <row r="57" spans="1:11" x14ac:dyDescent="0.25">
      <c r="A57" t="str">
        <f t="shared" si="0"/>
        <v>MC-6-(6x6)</v>
      </c>
      <c r="B57" t="s">
        <v>119</v>
      </c>
      <c r="C57">
        <v>6</v>
      </c>
      <c r="D57">
        <v>6</v>
      </c>
      <c r="E57">
        <v>17</v>
      </c>
      <c r="F57">
        <v>23</v>
      </c>
      <c r="G57">
        <v>9</v>
      </c>
      <c r="H57">
        <v>9</v>
      </c>
      <c r="I57">
        <v>11</v>
      </c>
      <c r="J57" t="s">
        <v>161</v>
      </c>
      <c r="K57" t="s">
        <v>162</v>
      </c>
    </row>
    <row r="58" spans="1:11" x14ac:dyDescent="0.25">
      <c r="A58" t="str">
        <f t="shared" si="0"/>
        <v>MC-7-(7x5)</v>
      </c>
      <c r="B58" t="s">
        <v>120</v>
      </c>
      <c r="C58">
        <v>7</v>
      </c>
      <c r="D58">
        <v>5</v>
      </c>
      <c r="E58">
        <v>0</v>
      </c>
      <c r="F58">
        <v>16</v>
      </c>
      <c r="G58">
        <v>8</v>
      </c>
      <c r="H58">
        <v>8.5</v>
      </c>
      <c r="I58">
        <v>10</v>
      </c>
      <c r="J58" t="s">
        <v>163</v>
      </c>
      <c r="K58" t="s">
        <v>164</v>
      </c>
    </row>
    <row r="59" spans="1:11" x14ac:dyDescent="0.25">
      <c r="A59" t="str">
        <f t="shared" si="0"/>
        <v>MC-7-(7x7)</v>
      </c>
      <c r="B59" t="s">
        <v>120</v>
      </c>
      <c r="C59">
        <v>7</v>
      </c>
      <c r="D59">
        <v>7</v>
      </c>
      <c r="E59">
        <v>0</v>
      </c>
      <c r="F59">
        <v>16</v>
      </c>
      <c r="G59">
        <v>8</v>
      </c>
      <c r="H59">
        <v>8.5</v>
      </c>
      <c r="I59">
        <v>10</v>
      </c>
      <c r="J59" t="s">
        <v>163</v>
      </c>
      <c r="K59" t="s">
        <v>164</v>
      </c>
    </row>
    <row r="60" spans="1:11" x14ac:dyDescent="0.25">
      <c r="A60" t="str">
        <f t="shared" si="0"/>
        <v>MC-7-(7x7)</v>
      </c>
      <c r="B60" t="s">
        <v>120</v>
      </c>
      <c r="C60">
        <v>7</v>
      </c>
      <c r="D60">
        <v>7</v>
      </c>
      <c r="E60">
        <v>17</v>
      </c>
      <c r="F60">
        <v>23</v>
      </c>
      <c r="G60">
        <v>9.5</v>
      </c>
      <c r="H60">
        <v>10</v>
      </c>
      <c r="I60">
        <v>12</v>
      </c>
      <c r="J60" t="s">
        <v>165</v>
      </c>
      <c r="K60" t="s">
        <v>166</v>
      </c>
    </row>
    <row r="61" spans="1:11" x14ac:dyDescent="0.25">
      <c r="A61" t="str">
        <f t="shared" si="0"/>
        <v>MC-8-(8x4)</v>
      </c>
      <c r="B61" t="s">
        <v>121</v>
      </c>
      <c r="C61">
        <v>8</v>
      </c>
      <c r="D61">
        <v>4</v>
      </c>
      <c r="E61">
        <v>0</v>
      </c>
      <c r="F61">
        <v>13</v>
      </c>
      <c r="G61">
        <v>8</v>
      </c>
      <c r="H61">
        <v>9</v>
      </c>
      <c r="I61">
        <v>10.5</v>
      </c>
      <c r="J61" t="s">
        <v>167</v>
      </c>
      <c r="K61" t="s">
        <v>168</v>
      </c>
    </row>
    <row r="62" spans="1:11" x14ac:dyDescent="0.25">
      <c r="A62" t="str">
        <f t="shared" si="0"/>
        <v>MC-8-(8x6)</v>
      </c>
      <c r="B62" t="s">
        <v>121</v>
      </c>
      <c r="C62">
        <v>8</v>
      </c>
      <c r="D62">
        <v>6</v>
      </c>
      <c r="E62">
        <v>0</v>
      </c>
      <c r="F62">
        <v>13</v>
      </c>
      <c r="G62">
        <v>8</v>
      </c>
      <c r="H62">
        <v>9</v>
      </c>
      <c r="I62">
        <v>10.5</v>
      </c>
      <c r="J62" t="s">
        <v>167</v>
      </c>
      <c r="K62" t="s">
        <v>168</v>
      </c>
    </row>
    <row r="63" spans="1:11" x14ac:dyDescent="0.25">
      <c r="A63" t="str">
        <f t="shared" si="0"/>
        <v>MC-8-(8x8)</v>
      </c>
      <c r="B63" t="s">
        <v>121</v>
      </c>
      <c r="C63">
        <v>8</v>
      </c>
      <c r="D63">
        <v>8</v>
      </c>
      <c r="E63">
        <v>0</v>
      </c>
      <c r="F63">
        <v>13</v>
      </c>
      <c r="G63">
        <v>8</v>
      </c>
      <c r="H63">
        <v>9</v>
      </c>
      <c r="I63">
        <v>10.5</v>
      </c>
      <c r="J63" t="s">
        <v>167</v>
      </c>
      <c r="K63" t="s">
        <v>168</v>
      </c>
    </row>
    <row r="64" spans="1:11" x14ac:dyDescent="0.25">
      <c r="A64" t="str">
        <f t="shared" si="0"/>
        <v>MC-8-(8x8)</v>
      </c>
      <c r="B64" t="s">
        <v>121</v>
      </c>
      <c r="C64">
        <v>8</v>
      </c>
      <c r="D64">
        <v>8</v>
      </c>
      <c r="E64">
        <v>14</v>
      </c>
      <c r="F64">
        <v>16</v>
      </c>
      <c r="G64">
        <v>8.5</v>
      </c>
      <c r="H64">
        <v>9.5</v>
      </c>
      <c r="I64">
        <v>11</v>
      </c>
      <c r="J64" t="s">
        <v>169</v>
      </c>
      <c r="K64" t="s">
        <v>170</v>
      </c>
    </row>
    <row r="65" spans="1:11" x14ac:dyDescent="0.25">
      <c r="A65" t="str">
        <f t="shared" si="0"/>
        <v>MC-8-(8x8)</v>
      </c>
      <c r="B65" t="s">
        <v>121</v>
      </c>
      <c r="C65">
        <v>8</v>
      </c>
      <c r="D65">
        <v>8</v>
      </c>
      <c r="E65">
        <v>17</v>
      </c>
      <c r="F65">
        <v>20</v>
      </c>
      <c r="G65">
        <v>9.5</v>
      </c>
      <c r="H65">
        <v>10.5</v>
      </c>
      <c r="I65">
        <v>12</v>
      </c>
      <c r="J65" t="s">
        <v>171</v>
      </c>
      <c r="K65" t="s">
        <v>172</v>
      </c>
    </row>
    <row r="66" spans="1:11" x14ac:dyDescent="0.25">
      <c r="A66" t="str">
        <f t="shared" si="0"/>
        <v>MC-8-(8x8)</v>
      </c>
      <c r="B66" t="s">
        <v>121</v>
      </c>
      <c r="C66">
        <v>8</v>
      </c>
      <c r="D66">
        <v>8</v>
      </c>
      <c r="E66">
        <v>21</v>
      </c>
      <c r="F66">
        <v>23</v>
      </c>
      <c r="G66">
        <v>10</v>
      </c>
      <c r="H66">
        <v>11.5</v>
      </c>
      <c r="I66">
        <v>13</v>
      </c>
      <c r="J66" t="s">
        <v>173</v>
      </c>
      <c r="K66" t="s">
        <v>174</v>
      </c>
    </row>
    <row r="67" spans="1:11" x14ac:dyDescent="0.25">
      <c r="A67" t="str">
        <f t="shared" ref="A67:A75" si="1">CONCATENATE(B67, "-(",C67,"x",D67,")")</f>
        <v>MC-10-(10x6)</v>
      </c>
      <c r="B67" t="s">
        <v>122</v>
      </c>
      <c r="C67">
        <v>10</v>
      </c>
      <c r="D67">
        <v>6</v>
      </c>
      <c r="E67">
        <v>0</v>
      </c>
      <c r="F67">
        <v>13</v>
      </c>
      <c r="G67">
        <v>8.5</v>
      </c>
      <c r="H67">
        <v>10.5</v>
      </c>
      <c r="I67">
        <v>12</v>
      </c>
      <c r="J67" t="s">
        <v>175</v>
      </c>
      <c r="K67" t="s">
        <v>176</v>
      </c>
    </row>
    <row r="68" spans="1:11" x14ac:dyDescent="0.25">
      <c r="A68" t="str">
        <f t="shared" si="1"/>
        <v>MC-10-(10x8)</v>
      </c>
      <c r="B68" t="s">
        <v>122</v>
      </c>
      <c r="C68">
        <v>10</v>
      </c>
      <c r="D68">
        <v>8</v>
      </c>
      <c r="E68">
        <v>0</v>
      </c>
      <c r="F68">
        <v>13</v>
      </c>
      <c r="G68">
        <v>8.5</v>
      </c>
      <c r="H68">
        <v>10.5</v>
      </c>
      <c r="I68">
        <v>12</v>
      </c>
      <c r="J68" t="s">
        <v>175</v>
      </c>
      <c r="K68" t="s">
        <v>176</v>
      </c>
    </row>
    <row r="69" spans="1:11" x14ac:dyDescent="0.25">
      <c r="A69" t="str">
        <f t="shared" si="1"/>
        <v>MC-10-(10x10)</v>
      </c>
      <c r="B69" t="s">
        <v>122</v>
      </c>
      <c r="C69">
        <v>10</v>
      </c>
      <c r="D69">
        <v>10</v>
      </c>
      <c r="E69">
        <v>0</v>
      </c>
      <c r="F69">
        <v>13</v>
      </c>
      <c r="G69">
        <v>8.5</v>
      </c>
      <c r="H69">
        <v>10.5</v>
      </c>
      <c r="I69">
        <v>12</v>
      </c>
      <c r="J69" t="s">
        <v>175</v>
      </c>
      <c r="K69" t="s">
        <v>176</v>
      </c>
    </row>
    <row r="70" spans="1:11" x14ac:dyDescent="0.25">
      <c r="A70" t="str">
        <f t="shared" si="1"/>
        <v>MC-10-(10x10)</v>
      </c>
      <c r="B70" t="s">
        <v>122</v>
      </c>
      <c r="C70">
        <v>10</v>
      </c>
      <c r="D70">
        <v>10</v>
      </c>
      <c r="E70">
        <v>14</v>
      </c>
      <c r="F70">
        <v>23</v>
      </c>
      <c r="G70">
        <v>11</v>
      </c>
      <c r="H70">
        <v>13</v>
      </c>
      <c r="I70">
        <v>14.5</v>
      </c>
      <c r="J70" t="s">
        <v>177</v>
      </c>
      <c r="K70" t="s">
        <v>178</v>
      </c>
    </row>
    <row r="71" spans="1:11" x14ac:dyDescent="0.25">
      <c r="A71" t="str">
        <f t="shared" si="1"/>
        <v>MC-12-(12x6)</v>
      </c>
      <c r="B71" t="s">
        <v>179</v>
      </c>
      <c r="C71">
        <v>12</v>
      </c>
      <c r="D71">
        <v>6</v>
      </c>
      <c r="E71">
        <v>0</v>
      </c>
      <c r="F71">
        <v>13</v>
      </c>
      <c r="G71">
        <v>9</v>
      </c>
      <c r="H71">
        <v>11.5</v>
      </c>
      <c r="I71">
        <v>13</v>
      </c>
      <c r="J71" t="s">
        <v>180</v>
      </c>
      <c r="K71" t="s">
        <v>181</v>
      </c>
    </row>
    <row r="72" spans="1:11" x14ac:dyDescent="0.25">
      <c r="A72" t="str">
        <f t="shared" si="1"/>
        <v>MC-12-(12x8)</v>
      </c>
      <c r="B72" t="s">
        <v>179</v>
      </c>
      <c r="C72">
        <v>12</v>
      </c>
      <c r="D72">
        <v>8</v>
      </c>
      <c r="E72">
        <v>0</v>
      </c>
      <c r="F72">
        <v>13</v>
      </c>
      <c r="G72">
        <v>9</v>
      </c>
      <c r="H72">
        <v>11.5</v>
      </c>
      <c r="I72">
        <v>13</v>
      </c>
      <c r="J72" t="s">
        <v>180</v>
      </c>
      <c r="K72" t="s">
        <v>181</v>
      </c>
    </row>
    <row r="73" spans="1:11" x14ac:dyDescent="0.25">
      <c r="A73" t="str">
        <f t="shared" si="1"/>
        <v>MC-12-(12x10)</v>
      </c>
      <c r="B73" t="s">
        <v>179</v>
      </c>
      <c r="C73">
        <v>12</v>
      </c>
      <c r="D73">
        <v>10</v>
      </c>
      <c r="E73">
        <v>0</v>
      </c>
      <c r="F73">
        <v>13</v>
      </c>
      <c r="G73">
        <v>9</v>
      </c>
      <c r="H73">
        <v>11.5</v>
      </c>
      <c r="I73">
        <v>13</v>
      </c>
      <c r="J73" t="s">
        <v>180</v>
      </c>
      <c r="K73" t="s">
        <v>181</v>
      </c>
    </row>
    <row r="74" spans="1:11" x14ac:dyDescent="0.25">
      <c r="A74" t="str">
        <f t="shared" si="1"/>
        <v>MC-12-(12x12)</v>
      </c>
      <c r="B74" t="s">
        <v>179</v>
      </c>
      <c r="C74">
        <v>12</v>
      </c>
      <c r="D74">
        <v>12</v>
      </c>
      <c r="E74">
        <v>0</v>
      </c>
      <c r="F74">
        <v>13</v>
      </c>
      <c r="G74">
        <v>9</v>
      </c>
      <c r="H74">
        <v>11.5</v>
      </c>
      <c r="I74">
        <v>13</v>
      </c>
      <c r="J74" t="s">
        <v>180</v>
      </c>
      <c r="K74" t="s">
        <v>181</v>
      </c>
    </row>
    <row r="75" spans="1:11" x14ac:dyDescent="0.25">
      <c r="A75" t="str">
        <f t="shared" si="1"/>
        <v>MC-12-(12x12)</v>
      </c>
      <c r="B75" t="s">
        <v>179</v>
      </c>
      <c r="C75">
        <v>12</v>
      </c>
      <c r="D75">
        <v>12</v>
      </c>
      <c r="E75">
        <v>14</v>
      </c>
      <c r="F75">
        <v>23</v>
      </c>
      <c r="G75">
        <v>12</v>
      </c>
      <c r="H75">
        <v>14.5</v>
      </c>
      <c r="I75">
        <v>16</v>
      </c>
      <c r="J75" t="s">
        <v>182</v>
      </c>
      <c r="K7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TxDOT</vt:lpstr>
      <vt:lpstr>Fort Worth </vt:lpstr>
      <vt:lpstr>Culvert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Dawit Ghebreyesus</dc:creator>
  <cp:lastModifiedBy>Dawit Ghebreyesus</cp:lastModifiedBy>
  <dcterms:created xsi:type="dcterms:W3CDTF">2026-06-09T13:56:44Z</dcterms:created>
  <dcterms:modified xsi:type="dcterms:W3CDTF">2026-06-09T14:20:28Z</dcterms:modified>
</cp:coreProperties>
</file>